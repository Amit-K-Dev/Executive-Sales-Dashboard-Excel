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mit\Desktop\COMPLETE-CS\PROJECTS\DATA ANALYST\Executive-Sales-Dashboard-Excel\"/>
    </mc:Choice>
  </mc:AlternateContent>
  <xr:revisionPtr revIDLastSave="0" documentId="13_ncr:1_{7542F833-4AA8-4776-8AF2-D915FCB4942A}" xr6:coauthVersionLast="47" xr6:coauthVersionMax="47" xr10:uidLastSave="{00000000-0000-0000-0000-000000000000}"/>
  <bookViews>
    <workbookView xWindow="-120" yWindow="-120" windowWidth="20730" windowHeight="11760" xr2:uid="{288758D4-3318-467B-A10A-0E48DCA51E33}"/>
  </bookViews>
  <sheets>
    <sheet name="Dashboard" sheetId="2" r:id="rId1"/>
    <sheet name="Pivot_Table" sheetId="3" r:id="rId2"/>
    <sheet name="Financial_Data" sheetId="1" r:id="rId3"/>
  </sheets>
  <definedNames>
    <definedName name="Slicer_Departmen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2" i="1"/>
  <c r="I55" i="3"/>
  <c r="J55" i="3"/>
  <c r="H55" i="3"/>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2"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2" i="1"/>
  <c r="A75" i="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51" i="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27" i="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L55" i="3" l="1"/>
</calcChain>
</file>

<file path=xl/sharedStrings.xml><?xml version="1.0" encoding="utf-8"?>
<sst xmlns="http://schemas.openxmlformats.org/spreadsheetml/2006/main" count="62" uniqueCount="36">
  <si>
    <t>Date</t>
  </si>
  <si>
    <t>Department</t>
  </si>
  <si>
    <t>Region</t>
  </si>
  <si>
    <t>Revenue</t>
  </si>
  <si>
    <t>Expenses</t>
  </si>
  <si>
    <t>Row Labels</t>
  </si>
  <si>
    <t>Grand Total</t>
  </si>
  <si>
    <t>2023</t>
  </si>
  <si>
    <t>2024</t>
  </si>
  <si>
    <t>Sum of Revenue</t>
  </si>
  <si>
    <t>Jan</t>
  </si>
  <si>
    <t>Feb</t>
  </si>
  <si>
    <t>Mar</t>
  </si>
  <si>
    <t>Apr</t>
  </si>
  <si>
    <t>May</t>
  </si>
  <si>
    <t>Jun</t>
  </si>
  <si>
    <t>Jul</t>
  </si>
  <si>
    <t>Aug</t>
  </si>
  <si>
    <t>Sep</t>
  </si>
  <si>
    <t>Oct</t>
  </si>
  <si>
    <t>Nov</t>
  </si>
  <si>
    <t>Dec</t>
  </si>
  <si>
    <t>Finance</t>
  </si>
  <si>
    <t>Marketing</t>
  </si>
  <si>
    <t>Operations</t>
  </si>
  <si>
    <t>Sales</t>
  </si>
  <si>
    <t>Sum of Expenses</t>
  </si>
  <si>
    <t>Profit</t>
  </si>
  <si>
    <t>Sum of Profit</t>
  </si>
  <si>
    <t>East</t>
  </si>
  <si>
    <t>North</t>
  </si>
  <si>
    <t>South</t>
  </si>
  <si>
    <t>West</t>
  </si>
  <si>
    <t>Margin %</t>
  </si>
  <si>
    <t>Department Margin %</t>
  </si>
  <si>
    <t>Average of Department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</si>
</sst>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2F4F7"/>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applyAlignment="1">
      <alignment horizontal="left" vertical="center" wrapText="1"/>
    </xf>
    <xf numFmtId="0" fontId="1" fillId="0" borderId="0" xfId="0" applyFont="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1" fillId="0" borderId="0" xfId="0" applyFont="1"/>
    <xf numFmtId="0" fontId="0" fillId="2" borderId="0" xfId="0" applyFill="1"/>
  </cellXfs>
  <cellStyles count="1">
    <cellStyle name="Normal" xfId="0" builtinId="0"/>
  </cellStyles>
  <dxfs count="7">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numFmt numFmtId="0" formatCode="General"/>
      <alignment horizontal="left" vertical="center"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style="thin">
          <color theme="4"/>
        </horizontal>
      </border>
    </dxf>
    <dxf>
      <border diagonalUp="0" diagonalDown="0">
        <left/>
        <right/>
        <top/>
        <bottom/>
        <vertical/>
        <horizontal/>
      </border>
    </dxf>
  </dxfs>
  <tableStyles count="2" defaultTableStyle="TableStyleMedium2" defaultPivotStyle="PivotStyleLight16">
    <tableStyle name="Slicer Style 1" pivot="0" table="0" count="1" xr9:uid="{C9412EE7-5A7B-47FE-ABFC-D083E4BED074}">
      <tableStyleElement type="wholeTable" dxfId="6"/>
    </tableStyle>
    <tableStyle name="SlicerStyleLight1 2" pivot="0" table="0" count="10" xr9:uid="{84FBE0DD-A55A-4023-B92A-D567C1D4ED75}">
      <tableStyleElement type="wholeTable" dxfId="5"/>
      <tableStyleElement type="headerRow" dxfId="4"/>
    </tableStyle>
  </tableStyles>
  <colors>
    <mruColors>
      <color rgb="FFF2F4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Revenue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none"/>
          </c:marker>
          <c:cat>
            <c:multiLvlStrRef>
              <c:f>Pivot_Table!$A$4:$A$30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Pivot_Table!$B$4:$B$30</c:f>
              <c:numCache>
                <c:formatCode>"₹"\ #,##0</c:formatCode>
                <c:ptCount val="24"/>
                <c:pt idx="0">
                  <c:v>380824</c:v>
                </c:pt>
                <c:pt idx="1">
                  <c:v>470649</c:v>
                </c:pt>
                <c:pt idx="2">
                  <c:v>613946</c:v>
                </c:pt>
                <c:pt idx="3">
                  <c:v>587068</c:v>
                </c:pt>
                <c:pt idx="4">
                  <c:v>578982</c:v>
                </c:pt>
                <c:pt idx="5">
                  <c:v>608953</c:v>
                </c:pt>
                <c:pt idx="6">
                  <c:v>373151</c:v>
                </c:pt>
                <c:pt idx="7">
                  <c:v>478313</c:v>
                </c:pt>
                <c:pt idx="8">
                  <c:v>591742</c:v>
                </c:pt>
                <c:pt idx="9">
                  <c:v>546022</c:v>
                </c:pt>
                <c:pt idx="10">
                  <c:v>695038</c:v>
                </c:pt>
                <c:pt idx="11">
                  <c:v>390378</c:v>
                </c:pt>
                <c:pt idx="12">
                  <c:v>571838</c:v>
                </c:pt>
                <c:pt idx="13">
                  <c:v>480623</c:v>
                </c:pt>
                <c:pt idx="14">
                  <c:v>535670</c:v>
                </c:pt>
                <c:pt idx="15">
                  <c:v>530051</c:v>
                </c:pt>
                <c:pt idx="16">
                  <c:v>449763</c:v>
                </c:pt>
                <c:pt idx="17">
                  <c:v>507928</c:v>
                </c:pt>
                <c:pt idx="18">
                  <c:v>509147</c:v>
                </c:pt>
                <c:pt idx="19">
                  <c:v>436467</c:v>
                </c:pt>
                <c:pt idx="20">
                  <c:v>574527</c:v>
                </c:pt>
                <c:pt idx="21">
                  <c:v>325464</c:v>
                </c:pt>
                <c:pt idx="22">
                  <c:v>532366</c:v>
                </c:pt>
                <c:pt idx="23">
                  <c:v>590104</c:v>
                </c:pt>
              </c:numCache>
            </c:numRef>
          </c:val>
          <c:smooth val="0"/>
          <c:extLst>
            <c:ext xmlns:c16="http://schemas.microsoft.com/office/drawing/2014/chart" uri="{C3380CC4-5D6E-409C-BE32-E72D297353CC}">
              <c16:uniqueId val="{00000000-C21F-4E17-A9E8-61630FB95A33}"/>
            </c:ext>
          </c:extLst>
        </c:ser>
        <c:dLbls>
          <c:showLegendKey val="0"/>
          <c:showVal val="0"/>
          <c:showCatName val="0"/>
          <c:showSerName val="0"/>
          <c:showPercent val="0"/>
          <c:showBubbleSize val="0"/>
        </c:dLbls>
        <c:smooth val="0"/>
        <c:axId val="334186559"/>
        <c:axId val="334186079"/>
      </c:lineChart>
      <c:catAx>
        <c:axId val="334186559"/>
        <c:scaling>
          <c:orientation val="minMax"/>
        </c:scaling>
        <c:delete val="0"/>
        <c:axPos val="b"/>
        <c:numFmt formatCode="General" sourceLinked="1"/>
        <c:majorTickMark val="none"/>
        <c:minorTickMark val="none"/>
        <c:tickLblPos val="nextTo"/>
        <c:spPr>
          <a:noFill/>
          <a:ln w="19050" cap="flat" cmpd="sng" algn="ctr">
            <a:solidFill>
              <a:schemeClr val="accent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4186079"/>
        <c:crosses val="autoZero"/>
        <c:auto val="1"/>
        <c:lblAlgn val="ctr"/>
        <c:lblOffset val="100"/>
        <c:noMultiLvlLbl val="1"/>
      </c:catAx>
      <c:valAx>
        <c:axId val="334186079"/>
        <c:scaling>
          <c:orientation val="minMax"/>
        </c:scaling>
        <c:delete val="0"/>
        <c:axPos val="l"/>
        <c:numFmt formatCode="&quot;₹&quot;0.0,,&quot; L&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41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Department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c:f>
              <c:strCache>
                <c:ptCount val="1"/>
                <c:pt idx="0">
                  <c:v>Sum of Revenue</c:v>
                </c:pt>
              </c:strCache>
            </c:strRef>
          </c:tx>
          <c:spPr>
            <a:solidFill>
              <a:schemeClr val="accent1"/>
            </a:solidFill>
            <a:ln>
              <a:noFill/>
            </a:ln>
            <a:effectLst/>
          </c:spPr>
          <c:invertIfNegative val="0"/>
          <c:cat>
            <c:strRef>
              <c:f>Pivot_Table!$A$33:$A$37</c:f>
              <c:strCache>
                <c:ptCount val="4"/>
                <c:pt idx="0">
                  <c:v>Finance</c:v>
                </c:pt>
                <c:pt idx="1">
                  <c:v>Marketing</c:v>
                </c:pt>
                <c:pt idx="2">
                  <c:v>Operations</c:v>
                </c:pt>
                <c:pt idx="3">
                  <c:v>Sales</c:v>
                </c:pt>
              </c:strCache>
            </c:strRef>
          </c:cat>
          <c:val>
            <c:numRef>
              <c:f>Pivot_Table!$B$33:$B$37</c:f>
              <c:numCache>
                <c:formatCode>"₹"\ #,##0</c:formatCode>
                <c:ptCount val="4"/>
                <c:pt idx="0">
                  <c:v>3012381</c:v>
                </c:pt>
                <c:pt idx="1">
                  <c:v>2939639</c:v>
                </c:pt>
                <c:pt idx="2">
                  <c:v>3259318</c:v>
                </c:pt>
                <c:pt idx="3">
                  <c:v>3147676</c:v>
                </c:pt>
              </c:numCache>
            </c:numRef>
          </c:val>
          <c:extLst>
            <c:ext xmlns:c16="http://schemas.microsoft.com/office/drawing/2014/chart" uri="{C3380CC4-5D6E-409C-BE32-E72D297353CC}">
              <c16:uniqueId val="{00000000-A135-4F2F-ABE7-9AE1679FE818}"/>
            </c:ext>
          </c:extLst>
        </c:ser>
        <c:ser>
          <c:idx val="1"/>
          <c:order val="1"/>
          <c:tx>
            <c:strRef>
              <c:f>Pivot_Table!$C$32</c:f>
              <c:strCache>
                <c:ptCount val="1"/>
                <c:pt idx="0">
                  <c:v>Sum of Profit</c:v>
                </c:pt>
              </c:strCache>
            </c:strRef>
          </c:tx>
          <c:spPr>
            <a:solidFill>
              <a:schemeClr val="accent6"/>
            </a:solidFill>
            <a:ln>
              <a:noFill/>
            </a:ln>
            <a:effectLst/>
          </c:spPr>
          <c:invertIfNegative val="0"/>
          <c:cat>
            <c:strRef>
              <c:f>Pivot_Table!$A$33:$A$37</c:f>
              <c:strCache>
                <c:ptCount val="4"/>
                <c:pt idx="0">
                  <c:v>Finance</c:v>
                </c:pt>
                <c:pt idx="1">
                  <c:v>Marketing</c:v>
                </c:pt>
                <c:pt idx="2">
                  <c:v>Operations</c:v>
                </c:pt>
                <c:pt idx="3">
                  <c:v>Sales</c:v>
                </c:pt>
              </c:strCache>
            </c:strRef>
          </c:cat>
          <c:val>
            <c:numRef>
              <c:f>Pivot_Table!$C$33:$C$37</c:f>
              <c:numCache>
                <c:formatCode>General</c:formatCode>
                <c:ptCount val="4"/>
                <c:pt idx="0">
                  <c:v>1098254.92</c:v>
                </c:pt>
                <c:pt idx="1">
                  <c:v>1029880.73</c:v>
                </c:pt>
                <c:pt idx="2">
                  <c:v>1147163.9200000002</c:v>
                </c:pt>
                <c:pt idx="3">
                  <c:v>1153036.9999999998</c:v>
                </c:pt>
              </c:numCache>
            </c:numRef>
          </c:val>
          <c:extLst>
            <c:ext xmlns:c16="http://schemas.microsoft.com/office/drawing/2014/chart" uri="{C3380CC4-5D6E-409C-BE32-E72D297353CC}">
              <c16:uniqueId val="{00000001-A135-4F2F-ABE7-9AE1679FE818}"/>
            </c:ext>
          </c:extLst>
        </c:ser>
        <c:dLbls>
          <c:showLegendKey val="0"/>
          <c:showVal val="0"/>
          <c:showCatName val="0"/>
          <c:showSerName val="0"/>
          <c:showPercent val="0"/>
          <c:showBubbleSize val="0"/>
        </c:dLbls>
        <c:gapWidth val="219"/>
        <c:overlap val="-27"/>
        <c:axId val="262040079"/>
        <c:axId val="262039119"/>
      </c:barChart>
      <c:catAx>
        <c:axId val="26204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2039119"/>
        <c:crosses val="autoZero"/>
        <c:auto val="1"/>
        <c:lblAlgn val="ctr"/>
        <c:lblOffset val="100"/>
        <c:noMultiLvlLbl val="0"/>
      </c:catAx>
      <c:valAx>
        <c:axId val="262039119"/>
        <c:scaling>
          <c:orientation val="minMax"/>
        </c:scaling>
        <c:delete val="0"/>
        <c:axPos val="l"/>
        <c:numFmt formatCode="&quot;₹&quot;0.0,,&quot; L&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620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[Executive_Sales_Dashboard.xlsx]Pivot_Table!PivotTable4</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FF"/>
            </a:solidFill>
            <a:ln>
              <a:solidFill>
                <a:srgbClr val="0B1F3A">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Pivot_Table!$B$44</c:f>
              <c:strCache>
                <c:ptCount val="1"/>
                <c:pt idx="0">
                  <c:v>Total</c:v>
                </c:pt>
              </c:strCache>
            </c:strRef>
          </c:tx>
          <c:spPr>
            <a:solidFill>
              <a:schemeClr val="accent1"/>
            </a:solidFill>
            <a:ln>
              <a:noFill/>
            </a:ln>
            <a:effectLst/>
          </c:spPr>
          <c:invertIfNegative val="0"/>
          <c:cat>
            <c:strRef>
              <c:f>Pivot_Table!$A$45:$A$49</c:f>
              <c:strCache>
                <c:ptCount val="4"/>
                <c:pt idx="0">
                  <c:v>East</c:v>
                </c:pt>
                <c:pt idx="1">
                  <c:v>North</c:v>
                </c:pt>
                <c:pt idx="2">
                  <c:v>West</c:v>
                </c:pt>
                <c:pt idx="3">
                  <c:v>South</c:v>
                </c:pt>
              </c:strCache>
            </c:strRef>
          </c:cat>
          <c:val>
            <c:numRef>
              <c:f>Pivot_Table!$B$45:$B$49</c:f>
              <c:numCache>
                <c:formatCode>"₹"\ #,##0</c:formatCode>
                <c:ptCount val="4"/>
                <c:pt idx="0">
                  <c:v>3259318</c:v>
                </c:pt>
                <c:pt idx="1">
                  <c:v>3147676</c:v>
                </c:pt>
                <c:pt idx="2">
                  <c:v>3012381</c:v>
                </c:pt>
                <c:pt idx="3">
                  <c:v>2939639</c:v>
                </c:pt>
              </c:numCache>
            </c:numRef>
          </c:val>
          <c:extLst>
            <c:ext xmlns:c16="http://schemas.microsoft.com/office/drawing/2014/chart" uri="{C3380CC4-5D6E-409C-BE32-E72D297353CC}">
              <c16:uniqueId val="{00000000-CE0C-40C2-A6BF-EC5ADEDF3BFD}"/>
            </c:ext>
          </c:extLst>
        </c:ser>
        <c:dLbls>
          <c:showLegendKey val="0"/>
          <c:showVal val="0"/>
          <c:showCatName val="0"/>
          <c:showSerName val="0"/>
          <c:showPercent val="0"/>
          <c:showBubbleSize val="0"/>
        </c:dLbls>
        <c:gapWidth val="182"/>
        <c:axId val="668571455"/>
        <c:axId val="668566175"/>
      </c:barChart>
      <c:catAx>
        <c:axId val="66857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68566175"/>
        <c:crosses val="autoZero"/>
        <c:auto val="1"/>
        <c:lblAlgn val="ctr"/>
        <c:lblOffset val="100"/>
        <c:noMultiLvlLbl val="0"/>
      </c:catAx>
      <c:valAx>
        <c:axId val="668566175"/>
        <c:scaling>
          <c:orientation val="minMax"/>
        </c:scaling>
        <c:delete val="0"/>
        <c:axPos val="b"/>
        <c:numFmt formatCode="&quot;₹&quot;0.0,,&quot; L&quot;" sourceLinked="0"/>
        <c:majorTickMark val="none"/>
        <c:minorTickMark val="none"/>
        <c:tickLblPos val="nextTo"/>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6857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Department Profitability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Pivot_Table!$I$59</c:f>
              <c:strCache>
                <c:ptCount val="1"/>
                <c:pt idx="0">
                  <c:v>Total</c:v>
                </c:pt>
              </c:strCache>
            </c:strRef>
          </c:tx>
          <c:spPr>
            <a:solidFill>
              <a:schemeClr val="accent1"/>
            </a:solidFill>
            <a:ln>
              <a:noFill/>
            </a:ln>
            <a:effectLst/>
          </c:spPr>
          <c:invertIfNegative val="0"/>
          <c:cat>
            <c:strRef>
              <c:f>Pivot_Table!$H$60:$H$64</c:f>
              <c:strCache>
                <c:ptCount val="4"/>
                <c:pt idx="0">
                  <c:v>Sales</c:v>
                </c:pt>
                <c:pt idx="1">
                  <c:v>Finance</c:v>
                </c:pt>
                <c:pt idx="2">
                  <c:v>Operations</c:v>
                </c:pt>
                <c:pt idx="3">
                  <c:v>Marketing</c:v>
                </c:pt>
              </c:strCache>
            </c:strRef>
          </c:cat>
          <c:val>
            <c:numRef>
              <c:f>Pivot_Table!$I$60:$I$64</c:f>
              <c:numCache>
                <c:formatCode>0.00%</c:formatCode>
                <c:ptCount val="4"/>
                <c:pt idx="0">
                  <c:v>0.36499999999999999</c:v>
                </c:pt>
                <c:pt idx="1">
                  <c:v>0.35749999999999998</c:v>
                </c:pt>
                <c:pt idx="2">
                  <c:v>0.35458333333333331</c:v>
                </c:pt>
                <c:pt idx="3">
                  <c:v>0.34375</c:v>
                </c:pt>
              </c:numCache>
            </c:numRef>
          </c:val>
          <c:extLst>
            <c:ext xmlns:c16="http://schemas.microsoft.com/office/drawing/2014/chart" uri="{C3380CC4-5D6E-409C-BE32-E72D297353CC}">
              <c16:uniqueId val="{00000000-9C19-45B3-A4E0-2EC31D81E5DA}"/>
            </c:ext>
          </c:extLst>
        </c:ser>
        <c:dLbls>
          <c:showLegendKey val="0"/>
          <c:showVal val="0"/>
          <c:showCatName val="0"/>
          <c:showSerName val="0"/>
          <c:showPercent val="0"/>
          <c:showBubbleSize val="0"/>
        </c:dLbls>
        <c:gapWidth val="182"/>
        <c:axId val="669163023"/>
        <c:axId val="669154383"/>
      </c:barChart>
      <c:catAx>
        <c:axId val="66916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69154383"/>
        <c:crosses val="autoZero"/>
        <c:auto val="1"/>
        <c:lblAlgn val="ctr"/>
        <c:lblOffset val="100"/>
        <c:noMultiLvlLbl val="0"/>
      </c:catAx>
      <c:valAx>
        <c:axId val="669154383"/>
        <c:scaling>
          <c:orientation val="minMax"/>
          <c:max val="0.38000000000000006"/>
          <c:min val="0.30000000000000004"/>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691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Revenue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28575" cap="rnd">
              <a:solidFill>
                <a:schemeClr val="accent1"/>
              </a:solidFill>
              <a:round/>
            </a:ln>
            <a:effectLst/>
          </c:spPr>
          <c:marker>
            <c:symbol val="none"/>
          </c:marker>
          <c:cat>
            <c:multiLvlStrRef>
              <c:f>Pivot_Table!$A$4:$A$30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Pivot_Table!$B$4:$B$30</c:f>
              <c:numCache>
                <c:formatCode>"₹"\ #,##0</c:formatCode>
                <c:ptCount val="24"/>
                <c:pt idx="0">
                  <c:v>380824</c:v>
                </c:pt>
                <c:pt idx="1">
                  <c:v>470649</c:v>
                </c:pt>
                <c:pt idx="2">
                  <c:v>613946</c:v>
                </c:pt>
                <c:pt idx="3">
                  <c:v>587068</c:v>
                </c:pt>
                <c:pt idx="4">
                  <c:v>578982</c:v>
                </c:pt>
                <c:pt idx="5">
                  <c:v>608953</c:v>
                </c:pt>
                <c:pt idx="6">
                  <c:v>373151</c:v>
                </c:pt>
                <c:pt idx="7">
                  <c:v>478313</c:v>
                </c:pt>
                <c:pt idx="8">
                  <c:v>591742</c:v>
                </c:pt>
                <c:pt idx="9">
                  <c:v>546022</c:v>
                </c:pt>
                <c:pt idx="10">
                  <c:v>695038</c:v>
                </c:pt>
                <c:pt idx="11">
                  <c:v>390378</c:v>
                </c:pt>
                <c:pt idx="12">
                  <c:v>571838</c:v>
                </c:pt>
                <c:pt idx="13">
                  <c:v>480623</c:v>
                </c:pt>
                <c:pt idx="14">
                  <c:v>535670</c:v>
                </c:pt>
                <c:pt idx="15">
                  <c:v>530051</c:v>
                </c:pt>
                <c:pt idx="16">
                  <c:v>449763</c:v>
                </c:pt>
                <c:pt idx="17">
                  <c:v>507928</c:v>
                </c:pt>
                <c:pt idx="18">
                  <c:v>509147</c:v>
                </c:pt>
                <c:pt idx="19">
                  <c:v>436467</c:v>
                </c:pt>
                <c:pt idx="20">
                  <c:v>574527</c:v>
                </c:pt>
                <c:pt idx="21">
                  <c:v>325464</c:v>
                </c:pt>
                <c:pt idx="22">
                  <c:v>532366</c:v>
                </c:pt>
                <c:pt idx="23">
                  <c:v>590104</c:v>
                </c:pt>
              </c:numCache>
            </c:numRef>
          </c:val>
          <c:smooth val="0"/>
          <c:extLst>
            <c:ext xmlns:c16="http://schemas.microsoft.com/office/drawing/2014/chart" uri="{C3380CC4-5D6E-409C-BE32-E72D297353CC}">
              <c16:uniqueId val="{00000000-387D-4F1D-90A9-B0654B015319}"/>
            </c:ext>
          </c:extLst>
        </c:ser>
        <c:dLbls>
          <c:showLegendKey val="0"/>
          <c:showVal val="0"/>
          <c:showCatName val="0"/>
          <c:showSerName val="0"/>
          <c:showPercent val="0"/>
          <c:showBubbleSize val="0"/>
        </c:dLbls>
        <c:smooth val="0"/>
        <c:axId val="334186559"/>
        <c:axId val="334186079"/>
      </c:lineChart>
      <c:catAx>
        <c:axId val="3341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86079"/>
        <c:crosses val="autoZero"/>
        <c:auto val="1"/>
        <c:lblAlgn val="ctr"/>
        <c:lblOffset val="100"/>
        <c:noMultiLvlLbl val="0"/>
      </c:catAx>
      <c:valAx>
        <c:axId val="33418607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1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Department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c:f>
              <c:strCache>
                <c:ptCount val="1"/>
                <c:pt idx="0">
                  <c:v>Sum of Revenue</c:v>
                </c:pt>
              </c:strCache>
            </c:strRef>
          </c:tx>
          <c:spPr>
            <a:solidFill>
              <a:schemeClr val="accent1"/>
            </a:solidFill>
            <a:ln>
              <a:noFill/>
            </a:ln>
            <a:effectLst/>
          </c:spPr>
          <c:invertIfNegative val="0"/>
          <c:cat>
            <c:strRef>
              <c:f>Pivot_Table!$A$33:$A$37</c:f>
              <c:strCache>
                <c:ptCount val="4"/>
                <c:pt idx="0">
                  <c:v>Finance</c:v>
                </c:pt>
                <c:pt idx="1">
                  <c:v>Marketing</c:v>
                </c:pt>
                <c:pt idx="2">
                  <c:v>Operations</c:v>
                </c:pt>
                <c:pt idx="3">
                  <c:v>Sales</c:v>
                </c:pt>
              </c:strCache>
            </c:strRef>
          </c:cat>
          <c:val>
            <c:numRef>
              <c:f>Pivot_Table!$B$33:$B$37</c:f>
              <c:numCache>
                <c:formatCode>"₹"\ #,##0</c:formatCode>
                <c:ptCount val="4"/>
                <c:pt idx="0">
                  <c:v>3012381</c:v>
                </c:pt>
                <c:pt idx="1">
                  <c:v>2939639</c:v>
                </c:pt>
                <c:pt idx="2">
                  <c:v>3259318</c:v>
                </c:pt>
                <c:pt idx="3">
                  <c:v>3147676</c:v>
                </c:pt>
              </c:numCache>
            </c:numRef>
          </c:val>
          <c:extLst>
            <c:ext xmlns:c16="http://schemas.microsoft.com/office/drawing/2014/chart" uri="{C3380CC4-5D6E-409C-BE32-E72D297353CC}">
              <c16:uniqueId val="{00000000-12FA-444C-8A21-73DC8FFCE6BC}"/>
            </c:ext>
          </c:extLst>
        </c:ser>
        <c:ser>
          <c:idx val="1"/>
          <c:order val="1"/>
          <c:tx>
            <c:strRef>
              <c:f>Pivot_Table!$C$32</c:f>
              <c:strCache>
                <c:ptCount val="1"/>
                <c:pt idx="0">
                  <c:v>Sum of Profit</c:v>
                </c:pt>
              </c:strCache>
            </c:strRef>
          </c:tx>
          <c:spPr>
            <a:solidFill>
              <a:schemeClr val="accent2"/>
            </a:solidFill>
            <a:ln>
              <a:noFill/>
            </a:ln>
            <a:effectLst/>
          </c:spPr>
          <c:invertIfNegative val="0"/>
          <c:cat>
            <c:strRef>
              <c:f>Pivot_Table!$A$33:$A$37</c:f>
              <c:strCache>
                <c:ptCount val="4"/>
                <c:pt idx="0">
                  <c:v>Finance</c:v>
                </c:pt>
                <c:pt idx="1">
                  <c:v>Marketing</c:v>
                </c:pt>
                <c:pt idx="2">
                  <c:v>Operations</c:v>
                </c:pt>
                <c:pt idx="3">
                  <c:v>Sales</c:v>
                </c:pt>
              </c:strCache>
            </c:strRef>
          </c:cat>
          <c:val>
            <c:numRef>
              <c:f>Pivot_Table!$C$33:$C$37</c:f>
              <c:numCache>
                <c:formatCode>General</c:formatCode>
                <c:ptCount val="4"/>
                <c:pt idx="0">
                  <c:v>1098254.92</c:v>
                </c:pt>
                <c:pt idx="1">
                  <c:v>1029880.73</c:v>
                </c:pt>
                <c:pt idx="2">
                  <c:v>1147163.9200000002</c:v>
                </c:pt>
                <c:pt idx="3">
                  <c:v>1153036.9999999998</c:v>
                </c:pt>
              </c:numCache>
            </c:numRef>
          </c:val>
          <c:extLst>
            <c:ext xmlns:c16="http://schemas.microsoft.com/office/drawing/2014/chart" uri="{C3380CC4-5D6E-409C-BE32-E72D297353CC}">
              <c16:uniqueId val="{00000001-12FA-444C-8A21-73DC8FFCE6BC}"/>
            </c:ext>
          </c:extLst>
        </c:ser>
        <c:dLbls>
          <c:showLegendKey val="0"/>
          <c:showVal val="0"/>
          <c:showCatName val="0"/>
          <c:showSerName val="0"/>
          <c:showPercent val="0"/>
          <c:showBubbleSize val="0"/>
        </c:dLbls>
        <c:gapWidth val="219"/>
        <c:overlap val="-27"/>
        <c:axId val="262040079"/>
        <c:axId val="262039119"/>
      </c:barChart>
      <c:catAx>
        <c:axId val="26204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39119"/>
        <c:crosses val="autoZero"/>
        <c:auto val="1"/>
        <c:lblAlgn val="ctr"/>
        <c:lblOffset val="100"/>
        <c:noMultiLvlLbl val="0"/>
      </c:catAx>
      <c:valAx>
        <c:axId val="26203911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 Performance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Pivot_Table!$B$44</c:f>
              <c:strCache>
                <c:ptCount val="1"/>
                <c:pt idx="0">
                  <c:v>Total</c:v>
                </c:pt>
              </c:strCache>
            </c:strRef>
          </c:tx>
          <c:spPr>
            <a:solidFill>
              <a:schemeClr val="accent1"/>
            </a:solidFill>
            <a:ln>
              <a:noFill/>
            </a:ln>
            <a:effectLst/>
          </c:spPr>
          <c:invertIfNegative val="0"/>
          <c:cat>
            <c:strRef>
              <c:f>Pivot_Table!$A$45:$A$49</c:f>
              <c:strCache>
                <c:ptCount val="4"/>
                <c:pt idx="0">
                  <c:v>East</c:v>
                </c:pt>
                <c:pt idx="1">
                  <c:v>North</c:v>
                </c:pt>
                <c:pt idx="2">
                  <c:v>West</c:v>
                </c:pt>
                <c:pt idx="3">
                  <c:v>South</c:v>
                </c:pt>
              </c:strCache>
            </c:strRef>
          </c:cat>
          <c:val>
            <c:numRef>
              <c:f>Pivot_Table!$B$45:$B$49</c:f>
              <c:numCache>
                <c:formatCode>"₹"\ #,##0</c:formatCode>
                <c:ptCount val="4"/>
                <c:pt idx="0">
                  <c:v>3259318</c:v>
                </c:pt>
                <c:pt idx="1">
                  <c:v>3147676</c:v>
                </c:pt>
                <c:pt idx="2">
                  <c:v>3012381</c:v>
                </c:pt>
                <c:pt idx="3">
                  <c:v>2939639</c:v>
                </c:pt>
              </c:numCache>
            </c:numRef>
          </c:val>
          <c:extLst>
            <c:ext xmlns:c16="http://schemas.microsoft.com/office/drawing/2014/chart" uri="{C3380CC4-5D6E-409C-BE32-E72D297353CC}">
              <c16:uniqueId val="{00000000-E3E3-4DA5-8146-A87C9B0F01BA}"/>
            </c:ext>
          </c:extLst>
        </c:ser>
        <c:dLbls>
          <c:showLegendKey val="0"/>
          <c:showVal val="0"/>
          <c:showCatName val="0"/>
          <c:showSerName val="0"/>
          <c:showPercent val="0"/>
          <c:showBubbleSize val="0"/>
        </c:dLbls>
        <c:gapWidth val="182"/>
        <c:axId val="668571455"/>
        <c:axId val="668566175"/>
      </c:barChart>
      <c:catAx>
        <c:axId val="66857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66175"/>
        <c:crosses val="autoZero"/>
        <c:auto val="1"/>
        <c:lblAlgn val="ctr"/>
        <c:lblOffset val="100"/>
        <c:noMultiLvlLbl val="0"/>
      </c:catAx>
      <c:valAx>
        <c:axId val="668566175"/>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7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[Executive_Sales_Dashboard.xlsx]Pivot_Table!PivotTable6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Department Profitability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Pivot_Table!$I$59</c:f>
              <c:strCache>
                <c:ptCount val="1"/>
                <c:pt idx="0">
                  <c:v>Total</c:v>
                </c:pt>
              </c:strCache>
            </c:strRef>
          </c:tx>
          <c:spPr>
            <a:solidFill>
              <a:schemeClr val="accent1"/>
            </a:solidFill>
            <a:ln>
              <a:noFill/>
            </a:ln>
            <a:effectLst/>
          </c:spPr>
          <c:invertIfNegative val="0"/>
          <c:cat>
            <c:strRef>
              <c:f>Pivot_Table!$H$60:$H$64</c:f>
              <c:strCache>
                <c:ptCount val="4"/>
                <c:pt idx="0">
                  <c:v>Sales</c:v>
                </c:pt>
                <c:pt idx="1">
                  <c:v>Finance</c:v>
                </c:pt>
                <c:pt idx="2">
                  <c:v>Operations</c:v>
                </c:pt>
                <c:pt idx="3">
                  <c:v>Marketing</c:v>
                </c:pt>
              </c:strCache>
            </c:strRef>
          </c:cat>
          <c:val>
            <c:numRef>
              <c:f>Pivot_Table!$I$60:$I$64</c:f>
              <c:numCache>
                <c:formatCode>0.00%</c:formatCode>
                <c:ptCount val="4"/>
                <c:pt idx="0">
                  <c:v>0.36499999999999999</c:v>
                </c:pt>
                <c:pt idx="1">
                  <c:v>0.35749999999999998</c:v>
                </c:pt>
                <c:pt idx="2">
                  <c:v>0.35458333333333331</c:v>
                </c:pt>
                <c:pt idx="3">
                  <c:v>0.34375</c:v>
                </c:pt>
              </c:numCache>
            </c:numRef>
          </c:val>
          <c:extLst>
            <c:ext xmlns:c16="http://schemas.microsoft.com/office/drawing/2014/chart" uri="{C3380CC4-5D6E-409C-BE32-E72D297353CC}">
              <c16:uniqueId val="{00000000-4D14-4FB9-B8C9-A56AEB788F62}"/>
            </c:ext>
          </c:extLst>
        </c:ser>
        <c:dLbls>
          <c:showLegendKey val="0"/>
          <c:showVal val="0"/>
          <c:showCatName val="0"/>
          <c:showSerName val="0"/>
          <c:showPercent val="0"/>
          <c:showBubbleSize val="0"/>
        </c:dLbls>
        <c:gapWidth val="182"/>
        <c:axId val="669163023"/>
        <c:axId val="669154383"/>
      </c:barChart>
      <c:catAx>
        <c:axId val="66916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54383"/>
        <c:crosses val="autoZero"/>
        <c:auto val="1"/>
        <c:lblAlgn val="ctr"/>
        <c:lblOffset val="100"/>
        <c:noMultiLvlLbl val="0"/>
      </c:catAx>
      <c:valAx>
        <c:axId val="669154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105809</xdr:rowOff>
    </xdr:from>
    <xdr:ext cx="5310043" cy="468013"/>
    <xdr:sp macro="" textlink="">
      <xdr:nvSpPr>
        <xdr:cNvPr id="2" name="TextBox 1">
          <a:extLst>
            <a:ext uri="{FF2B5EF4-FFF2-40B4-BE49-F238E27FC236}">
              <a16:creationId xmlns:a16="http://schemas.microsoft.com/office/drawing/2014/main" id="{B9EC1382-1885-F94F-EC64-E57C185D29D9}"/>
            </a:ext>
          </a:extLst>
        </xdr:cNvPr>
        <xdr:cNvSpPr txBox="1"/>
      </xdr:nvSpPr>
      <xdr:spPr>
        <a:xfrm>
          <a:off x="123825" y="105809"/>
          <a:ext cx="53100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chorCtr="0">
          <a:spAutoFit/>
        </a:bodyPr>
        <a:lstStyle/>
        <a:p>
          <a:pPr algn="l"/>
          <a:r>
            <a:rPr lang="en-IN" sz="2400" b="1">
              <a:solidFill>
                <a:schemeClr val="tx1"/>
              </a:solidFill>
            </a:rPr>
            <a:t>Executive</a:t>
          </a:r>
          <a:r>
            <a:rPr lang="en-IN" sz="2400" b="1" baseline="0">
              <a:solidFill>
                <a:schemeClr val="tx1"/>
              </a:solidFill>
            </a:rPr>
            <a:t> Sales Performance Dashboard</a:t>
          </a:r>
          <a:endParaRPr lang="en-IN" sz="2400" b="1">
            <a:solidFill>
              <a:schemeClr val="tx1"/>
            </a:solidFill>
          </a:endParaRPr>
        </a:p>
      </xdr:txBody>
    </xdr:sp>
    <xdr:clientData/>
  </xdr:oneCellAnchor>
  <xdr:oneCellAnchor>
    <xdr:from>
      <xdr:col>2</xdr:col>
      <xdr:colOff>266700</xdr:colOff>
      <xdr:row>7</xdr:row>
      <xdr:rowOff>76200</xdr:rowOff>
    </xdr:from>
    <xdr:ext cx="184731" cy="405432"/>
    <xdr:sp macro="" textlink="">
      <xdr:nvSpPr>
        <xdr:cNvPr id="6" name="TextBox 5">
          <a:extLst>
            <a:ext uri="{FF2B5EF4-FFF2-40B4-BE49-F238E27FC236}">
              <a16:creationId xmlns:a16="http://schemas.microsoft.com/office/drawing/2014/main" id="{C1F3928E-6AEE-B08C-D786-E157066A0465}"/>
            </a:ext>
          </a:extLst>
        </xdr:cNvPr>
        <xdr:cNvSpPr txBox="1"/>
      </xdr:nvSpPr>
      <xdr:spPr>
        <a:xfrm>
          <a:off x="1485900" y="140970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2000"/>
        </a:p>
      </xdr:txBody>
    </xdr:sp>
    <xdr:clientData/>
  </xdr:oneCellAnchor>
  <xdr:twoCellAnchor>
    <xdr:from>
      <xdr:col>5</xdr:col>
      <xdr:colOff>387350</xdr:colOff>
      <xdr:row>4</xdr:row>
      <xdr:rowOff>161927</xdr:rowOff>
    </xdr:from>
    <xdr:to>
      <xdr:col>9</xdr:col>
      <xdr:colOff>425450</xdr:colOff>
      <xdr:row>10</xdr:row>
      <xdr:rowOff>76202</xdr:rowOff>
    </xdr:to>
    <xdr:grpSp>
      <xdr:nvGrpSpPr>
        <xdr:cNvPr id="14" name="Group 13">
          <a:extLst>
            <a:ext uri="{FF2B5EF4-FFF2-40B4-BE49-F238E27FC236}">
              <a16:creationId xmlns:a16="http://schemas.microsoft.com/office/drawing/2014/main" id="{8F316A59-1E2A-F504-3C46-3ECB181793B2}"/>
            </a:ext>
          </a:extLst>
        </xdr:cNvPr>
        <xdr:cNvGrpSpPr/>
      </xdr:nvGrpSpPr>
      <xdr:grpSpPr>
        <a:xfrm>
          <a:off x="3435350" y="923927"/>
          <a:ext cx="2476500" cy="1057275"/>
          <a:chOff x="714375" y="800100"/>
          <a:chExt cx="2476500" cy="1057275"/>
        </a:xfrm>
        <a:effectLst>
          <a:outerShdw blurRad="50800" dist="38100" dir="2700000" algn="tl" rotWithShape="0">
            <a:prstClr val="black">
              <a:alpha val="40000"/>
            </a:prstClr>
          </a:outerShdw>
        </a:effectLst>
      </xdr:grpSpPr>
      <xdr:sp macro="" textlink="">
        <xdr:nvSpPr>
          <xdr:cNvPr id="3" name="Rectangle 2">
            <a:extLst>
              <a:ext uri="{FF2B5EF4-FFF2-40B4-BE49-F238E27FC236}">
                <a16:creationId xmlns:a16="http://schemas.microsoft.com/office/drawing/2014/main" id="{1DB6EC81-64FA-C172-3DBD-0074FB245FA5}"/>
              </a:ext>
            </a:extLst>
          </xdr:cNvPr>
          <xdr:cNvSpPr/>
        </xdr:nvSpPr>
        <xdr:spPr>
          <a:xfrm>
            <a:off x="714375" y="800100"/>
            <a:ext cx="2476500" cy="1057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Total</a:t>
            </a:r>
            <a:r>
              <a:rPr lang="en-IN" sz="1200" baseline="0">
                <a:solidFill>
                  <a:schemeClr val="tx1"/>
                </a:solidFill>
              </a:rPr>
              <a:t> Expenses</a:t>
            </a:r>
            <a:endParaRPr lang="en-IN" sz="1200">
              <a:solidFill>
                <a:schemeClr val="tx1"/>
              </a:solidFill>
            </a:endParaRPr>
          </a:p>
        </xdr:txBody>
      </xdr:sp>
      <xdr:sp macro="" textlink="Pivot_Table!I55">
        <xdr:nvSpPr>
          <xdr:cNvPr id="7" name="TextBox 6">
            <a:extLst>
              <a:ext uri="{FF2B5EF4-FFF2-40B4-BE49-F238E27FC236}">
                <a16:creationId xmlns:a16="http://schemas.microsoft.com/office/drawing/2014/main" id="{D8508109-4907-5C3D-4E08-18C3EEA1FB43}"/>
              </a:ext>
            </a:extLst>
          </xdr:cNvPr>
          <xdr:cNvSpPr txBox="1"/>
        </xdr:nvSpPr>
        <xdr:spPr>
          <a:xfrm>
            <a:off x="742950" y="1047750"/>
            <a:ext cx="2419350"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7D62FF0-F141-45AF-8B9A-66332B9D5261}" type="TxLink">
              <a:rPr lang="en-US" sz="3200" b="1" i="0" u="none" strike="noStrike">
                <a:solidFill>
                  <a:srgbClr val="0B1F3A"/>
                </a:solidFill>
                <a:latin typeface="Calibri"/>
                <a:cs typeface="Calibri"/>
              </a:rPr>
              <a:pPr algn="ctr"/>
              <a:t>₹ 79,30,677</a:t>
            </a:fld>
            <a:endParaRPr lang="en-US" sz="3200" b="1">
              <a:solidFill>
                <a:schemeClr val="tx1"/>
              </a:solidFill>
            </a:endParaRPr>
          </a:p>
        </xdr:txBody>
      </xdr:sp>
    </xdr:grpSp>
    <xdr:clientData/>
  </xdr:twoCellAnchor>
  <xdr:twoCellAnchor>
    <xdr:from>
      <xdr:col>10</xdr:col>
      <xdr:colOff>574675</xdr:colOff>
      <xdr:row>4</xdr:row>
      <xdr:rowOff>161927</xdr:rowOff>
    </xdr:from>
    <xdr:to>
      <xdr:col>15</xdr:col>
      <xdr:colOff>3175</xdr:colOff>
      <xdr:row>10</xdr:row>
      <xdr:rowOff>76202</xdr:rowOff>
    </xdr:to>
    <xdr:grpSp>
      <xdr:nvGrpSpPr>
        <xdr:cNvPr id="13" name="Group 12">
          <a:extLst>
            <a:ext uri="{FF2B5EF4-FFF2-40B4-BE49-F238E27FC236}">
              <a16:creationId xmlns:a16="http://schemas.microsoft.com/office/drawing/2014/main" id="{2A644B9A-8CA2-5E45-0D12-4442A07677E5}"/>
            </a:ext>
          </a:extLst>
        </xdr:cNvPr>
        <xdr:cNvGrpSpPr/>
      </xdr:nvGrpSpPr>
      <xdr:grpSpPr>
        <a:xfrm>
          <a:off x="6670675" y="923927"/>
          <a:ext cx="2476500" cy="1057275"/>
          <a:chOff x="3571875" y="809625"/>
          <a:chExt cx="2476500" cy="1057275"/>
        </a:xfrm>
        <a:effectLst>
          <a:outerShdw blurRad="50800" dist="38100" dir="2700000" algn="tl" rotWithShape="0">
            <a:prstClr val="black">
              <a:alpha val="40000"/>
            </a:prstClr>
          </a:outerShdw>
        </a:effectLst>
      </xdr:grpSpPr>
      <xdr:sp macro="" textlink="">
        <xdr:nvSpPr>
          <xdr:cNvPr id="4" name="Rectangle 3">
            <a:extLst>
              <a:ext uri="{FF2B5EF4-FFF2-40B4-BE49-F238E27FC236}">
                <a16:creationId xmlns:a16="http://schemas.microsoft.com/office/drawing/2014/main" id="{D295492A-F670-A0D2-9B88-81CCD37D1186}"/>
              </a:ext>
            </a:extLst>
          </xdr:cNvPr>
          <xdr:cNvSpPr/>
        </xdr:nvSpPr>
        <xdr:spPr>
          <a:xfrm>
            <a:off x="3571875" y="809625"/>
            <a:ext cx="2476500" cy="1057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rPr>
              <a:t>Total </a:t>
            </a:r>
            <a:r>
              <a:rPr lang="en-IN" sz="1200">
                <a:solidFill>
                  <a:schemeClr val="tx1"/>
                </a:solidFill>
              </a:rPr>
              <a:t>Profit</a:t>
            </a:r>
            <a:endParaRPr lang="en-IN" sz="1100">
              <a:solidFill>
                <a:schemeClr val="tx1"/>
              </a:solidFill>
            </a:endParaRPr>
          </a:p>
        </xdr:txBody>
      </xdr:sp>
      <xdr:sp macro="" textlink="Pivot_Table!J55">
        <xdr:nvSpPr>
          <xdr:cNvPr id="8" name="TextBox 7">
            <a:extLst>
              <a:ext uri="{FF2B5EF4-FFF2-40B4-BE49-F238E27FC236}">
                <a16:creationId xmlns:a16="http://schemas.microsoft.com/office/drawing/2014/main" id="{B8586E2B-35AD-8E5D-E513-D92C9FB8B756}"/>
              </a:ext>
            </a:extLst>
          </xdr:cNvPr>
          <xdr:cNvSpPr txBox="1"/>
        </xdr:nvSpPr>
        <xdr:spPr>
          <a:xfrm>
            <a:off x="3724275" y="1057275"/>
            <a:ext cx="2162175"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B05B9E0-9FE5-4F82-87B9-2457E32E8A90}" type="TxLink">
              <a:rPr lang="en-US" sz="3200" b="1" i="0" u="none" strike="noStrike">
                <a:solidFill>
                  <a:srgbClr val="0B1F3A"/>
                </a:solidFill>
                <a:latin typeface="Calibri"/>
                <a:cs typeface="Calibri"/>
              </a:rPr>
              <a:pPr algn="ctr"/>
              <a:t>₹ 44,28,337</a:t>
            </a:fld>
            <a:endParaRPr lang="en-IN" sz="3200" b="1">
              <a:solidFill>
                <a:schemeClr val="tx1"/>
              </a:solidFill>
            </a:endParaRPr>
          </a:p>
        </xdr:txBody>
      </xdr:sp>
    </xdr:grpSp>
    <xdr:clientData/>
  </xdr:twoCellAnchor>
  <xdr:twoCellAnchor>
    <xdr:from>
      <xdr:col>16</xdr:col>
      <xdr:colOff>152400</xdr:colOff>
      <xdr:row>4</xdr:row>
      <xdr:rowOff>161927</xdr:rowOff>
    </xdr:from>
    <xdr:to>
      <xdr:col>20</xdr:col>
      <xdr:colOff>190500</xdr:colOff>
      <xdr:row>10</xdr:row>
      <xdr:rowOff>76202</xdr:rowOff>
    </xdr:to>
    <xdr:grpSp>
      <xdr:nvGrpSpPr>
        <xdr:cNvPr id="12" name="Group 11">
          <a:extLst>
            <a:ext uri="{FF2B5EF4-FFF2-40B4-BE49-F238E27FC236}">
              <a16:creationId xmlns:a16="http://schemas.microsoft.com/office/drawing/2014/main" id="{8FB4E711-DED3-CB04-73A7-9A00D1D687E1}"/>
            </a:ext>
          </a:extLst>
        </xdr:cNvPr>
        <xdr:cNvGrpSpPr/>
      </xdr:nvGrpSpPr>
      <xdr:grpSpPr>
        <a:xfrm>
          <a:off x="9906000" y="923927"/>
          <a:ext cx="2476500" cy="1057275"/>
          <a:chOff x="6429375" y="819150"/>
          <a:chExt cx="2476500" cy="1057275"/>
        </a:xfrm>
        <a:effectLst>
          <a:outerShdw blurRad="50800" dist="38100" dir="2700000" algn="tl" rotWithShape="0">
            <a:prstClr val="black">
              <a:alpha val="40000"/>
            </a:prstClr>
          </a:outerShdw>
        </a:effectLst>
      </xdr:grpSpPr>
      <xdr:sp macro="" textlink="">
        <xdr:nvSpPr>
          <xdr:cNvPr id="5" name="Rectangle 4">
            <a:extLst>
              <a:ext uri="{FF2B5EF4-FFF2-40B4-BE49-F238E27FC236}">
                <a16:creationId xmlns:a16="http://schemas.microsoft.com/office/drawing/2014/main" id="{9DA266A2-0310-D730-87FE-BD7D760C88B4}"/>
              </a:ext>
            </a:extLst>
          </xdr:cNvPr>
          <xdr:cNvSpPr/>
        </xdr:nvSpPr>
        <xdr:spPr>
          <a:xfrm>
            <a:off x="6429375" y="819150"/>
            <a:ext cx="2476500" cy="1057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Margin %</a:t>
            </a:r>
          </a:p>
        </xdr:txBody>
      </xdr:sp>
      <xdr:sp macro="" textlink="Pivot_Table!L55">
        <xdr:nvSpPr>
          <xdr:cNvPr id="9" name="TextBox 8">
            <a:extLst>
              <a:ext uri="{FF2B5EF4-FFF2-40B4-BE49-F238E27FC236}">
                <a16:creationId xmlns:a16="http://schemas.microsoft.com/office/drawing/2014/main" id="{82966F3A-114B-3CAC-0D86-A97F4A0F7B35}"/>
              </a:ext>
            </a:extLst>
          </xdr:cNvPr>
          <xdr:cNvSpPr txBox="1"/>
        </xdr:nvSpPr>
        <xdr:spPr>
          <a:xfrm>
            <a:off x="6591300" y="1066800"/>
            <a:ext cx="2162175"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879639F-8043-4E75-91FD-507056D5FE5A}" type="TxLink">
              <a:rPr lang="en-US" sz="3200" b="1" i="0" u="none" strike="noStrike">
                <a:solidFill>
                  <a:srgbClr val="0B1F3A"/>
                </a:solidFill>
                <a:latin typeface="Calibri"/>
                <a:cs typeface="Calibri"/>
              </a:rPr>
              <a:pPr algn="ctr"/>
              <a:t>35.83%</a:t>
            </a:fld>
            <a:endParaRPr lang="en-US" sz="3200" b="1" i="0" u="none" strike="noStrike">
              <a:solidFill>
                <a:schemeClr val="tx1"/>
              </a:solidFill>
              <a:latin typeface="Calibri"/>
              <a:cs typeface="Calibri"/>
            </a:endParaRPr>
          </a:p>
        </xdr:txBody>
      </xdr:sp>
    </xdr:grpSp>
    <xdr:clientData/>
  </xdr:twoCellAnchor>
  <xdr:twoCellAnchor editAs="oneCell">
    <xdr:from>
      <xdr:col>17</xdr:col>
      <xdr:colOff>364668</xdr:colOff>
      <xdr:row>11</xdr:row>
      <xdr:rowOff>166687</xdr:rowOff>
    </xdr:from>
    <xdr:to>
      <xdr:col>20</xdr:col>
      <xdr:colOff>191868</xdr:colOff>
      <xdr:row>19</xdr:row>
      <xdr:rowOff>133087</xdr:rowOff>
    </xdr:to>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F9BE4492-A684-42D4-BBAA-6CF28F6F129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727868" y="2262187"/>
              <a:ext cx="1656000" cy="14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364668</xdr:colOff>
      <xdr:row>20</xdr:row>
      <xdr:rowOff>80962</xdr:rowOff>
    </xdr:from>
    <xdr:to>
      <xdr:col>20</xdr:col>
      <xdr:colOff>191868</xdr:colOff>
      <xdr:row>28</xdr:row>
      <xdr:rowOff>47362</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323F3F9-64B4-4DF7-AEFB-90CE51485F9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727868" y="3890962"/>
              <a:ext cx="1656000" cy="14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209549</xdr:colOff>
      <xdr:row>11</xdr:row>
      <xdr:rowOff>166687</xdr:rowOff>
    </xdr:from>
    <xdr:to>
      <xdr:col>17</xdr:col>
      <xdr:colOff>133350</xdr:colOff>
      <xdr:row>28</xdr:row>
      <xdr:rowOff>47625</xdr:rowOff>
    </xdr:to>
    <xdr:graphicFrame macro="">
      <xdr:nvGraphicFramePr>
        <xdr:cNvPr id="15" name="Chart 14">
          <a:extLst>
            <a:ext uri="{FF2B5EF4-FFF2-40B4-BE49-F238E27FC236}">
              <a16:creationId xmlns:a16="http://schemas.microsoft.com/office/drawing/2014/main" id="{D24EAF60-CA93-4F2D-9915-07359DC18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29</xdr:row>
      <xdr:rowOff>143061</xdr:rowOff>
    </xdr:from>
    <xdr:to>
      <xdr:col>6</xdr:col>
      <xdr:colOff>492900</xdr:colOff>
      <xdr:row>45</xdr:row>
      <xdr:rowOff>93861</xdr:rowOff>
    </xdr:to>
    <xdr:graphicFrame macro="">
      <xdr:nvGraphicFramePr>
        <xdr:cNvPr id="16" name="Chart 15">
          <a:extLst>
            <a:ext uri="{FF2B5EF4-FFF2-40B4-BE49-F238E27FC236}">
              <a16:creationId xmlns:a16="http://schemas.microsoft.com/office/drawing/2014/main" id="{32F1A057-A006-45A6-9421-10534D12F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29</xdr:row>
      <xdr:rowOff>143061</xdr:rowOff>
    </xdr:from>
    <xdr:to>
      <xdr:col>13</xdr:col>
      <xdr:colOff>340500</xdr:colOff>
      <xdr:row>45</xdr:row>
      <xdr:rowOff>93861</xdr:rowOff>
    </xdr:to>
    <xdr:graphicFrame macro="">
      <xdr:nvGraphicFramePr>
        <xdr:cNvPr id="17" name="Chart 16">
          <a:extLst>
            <a:ext uri="{FF2B5EF4-FFF2-40B4-BE49-F238E27FC236}">
              <a16:creationId xmlns:a16="http://schemas.microsoft.com/office/drawing/2014/main" id="{A2F02602-0EEC-4088-B4C6-814F05E0D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4</xdr:row>
      <xdr:rowOff>161927</xdr:rowOff>
    </xdr:from>
    <xdr:to>
      <xdr:col>4</xdr:col>
      <xdr:colOff>238125</xdr:colOff>
      <xdr:row>10</xdr:row>
      <xdr:rowOff>76202</xdr:rowOff>
    </xdr:to>
    <xdr:grpSp>
      <xdr:nvGrpSpPr>
        <xdr:cNvPr id="18" name="Group 17">
          <a:extLst>
            <a:ext uri="{FF2B5EF4-FFF2-40B4-BE49-F238E27FC236}">
              <a16:creationId xmlns:a16="http://schemas.microsoft.com/office/drawing/2014/main" id="{A2C26EA0-8C54-A54C-27C7-CF8BA7EF5B8A}"/>
            </a:ext>
          </a:extLst>
        </xdr:cNvPr>
        <xdr:cNvGrpSpPr/>
      </xdr:nvGrpSpPr>
      <xdr:grpSpPr>
        <a:xfrm>
          <a:off x="190500" y="923927"/>
          <a:ext cx="2486025" cy="1057275"/>
          <a:chOff x="704850" y="800100"/>
          <a:chExt cx="2486025" cy="1057275"/>
        </a:xfrm>
        <a:effectLst>
          <a:outerShdw blurRad="50800" dist="38100" dir="2700000" algn="tl" rotWithShape="0">
            <a:prstClr val="black">
              <a:alpha val="40000"/>
            </a:prstClr>
          </a:outerShdw>
        </a:effectLst>
      </xdr:grpSpPr>
      <xdr:sp macro="" textlink="">
        <xdr:nvSpPr>
          <xdr:cNvPr id="19" name="Rectangle 18">
            <a:extLst>
              <a:ext uri="{FF2B5EF4-FFF2-40B4-BE49-F238E27FC236}">
                <a16:creationId xmlns:a16="http://schemas.microsoft.com/office/drawing/2014/main" id="{9C93A222-9AFB-A2B8-11EE-A9EEF8945624}"/>
              </a:ext>
            </a:extLst>
          </xdr:cNvPr>
          <xdr:cNvSpPr/>
        </xdr:nvSpPr>
        <xdr:spPr>
          <a:xfrm>
            <a:off x="714375" y="800100"/>
            <a:ext cx="2476500" cy="1057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Total</a:t>
            </a:r>
            <a:r>
              <a:rPr lang="en-IN" sz="1200" baseline="0">
                <a:solidFill>
                  <a:schemeClr val="tx1"/>
                </a:solidFill>
              </a:rPr>
              <a:t> Revenue</a:t>
            </a:r>
            <a:endParaRPr lang="en-IN" sz="1200">
              <a:solidFill>
                <a:schemeClr val="tx1"/>
              </a:solidFill>
            </a:endParaRPr>
          </a:p>
        </xdr:txBody>
      </xdr:sp>
      <xdr:sp macro="" textlink="Pivot_Table!H55">
        <xdr:nvSpPr>
          <xdr:cNvPr id="20" name="TextBox 19">
            <a:extLst>
              <a:ext uri="{FF2B5EF4-FFF2-40B4-BE49-F238E27FC236}">
                <a16:creationId xmlns:a16="http://schemas.microsoft.com/office/drawing/2014/main" id="{CCF9FC11-231E-B521-1CCC-8FCE36AD7F6E}"/>
              </a:ext>
            </a:extLst>
          </xdr:cNvPr>
          <xdr:cNvSpPr txBox="1"/>
        </xdr:nvSpPr>
        <xdr:spPr>
          <a:xfrm>
            <a:off x="704850" y="1047750"/>
            <a:ext cx="2486025" cy="542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33EF414-97F2-4AE1-ADE6-A3F0B7E7A2E8}" type="TxLink">
              <a:rPr lang="en-US" sz="3200" b="1" i="0" u="none" strike="noStrike">
                <a:solidFill>
                  <a:schemeClr val="tx1"/>
                </a:solidFill>
                <a:latin typeface="Calibri"/>
                <a:cs typeface="Calibri"/>
              </a:rPr>
              <a:pPr algn="ctr"/>
              <a:t>₹ 1,23,59,014</a:t>
            </a:fld>
            <a:endParaRPr lang="en-IN" sz="3200" b="1">
              <a:solidFill>
                <a:schemeClr val="tx1"/>
              </a:solidFill>
            </a:endParaRPr>
          </a:p>
        </xdr:txBody>
      </xdr:sp>
    </xdr:grpSp>
    <xdr:clientData/>
  </xdr:twoCellAnchor>
  <xdr:oneCellAnchor>
    <xdr:from>
      <xdr:col>0</xdr:col>
      <xdr:colOff>123825</xdr:colOff>
      <xdr:row>2</xdr:row>
      <xdr:rowOff>74185</xdr:rowOff>
    </xdr:from>
    <xdr:ext cx="3285323" cy="264560"/>
    <xdr:sp macro="" textlink="">
      <xdr:nvSpPr>
        <xdr:cNvPr id="21" name="TextBox 20">
          <a:extLst>
            <a:ext uri="{FF2B5EF4-FFF2-40B4-BE49-F238E27FC236}">
              <a16:creationId xmlns:a16="http://schemas.microsoft.com/office/drawing/2014/main" id="{49933157-A54A-34B8-8DEB-8291A5336F72}"/>
            </a:ext>
          </a:extLst>
        </xdr:cNvPr>
        <xdr:cNvSpPr txBox="1"/>
      </xdr:nvSpPr>
      <xdr:spPr>
        <a:xfrm>
          <a:off x="123825" y="455185"/>
          <a:ext cx="32853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a:t>Monthly Revenue &amp; Profitability Analysis (2023–2024)</a:t>
          </a:r>
          <a:endParaRPr lang="en-IN" sz="1100"/>
        </a:p>
      </xdr:txBody>
    </xdr:sp>
    <xdr:clientData/>
  </xdr:oneCellAnchor>
  <xdr:twoCellAnchor>
    <xdr:from>
      <xdr:col>13</xdr:col>
      <xdr:colOff>495299</xdr:colOff>
      <xdr:row>29</xdr:row>
      <xdr:rowOff>143061</xdr:rowOff>
    </xdr:from>
    <xdr:to>
      <xdr:col>20</xdr:col>
      <xdr:colOff>188099</xdr:colOff>
      <xdr:row>45</xdr:row>
      <xdr:rowOff>93861</xdr:rowOff>
    </xdr:to>
    <xdr:graphicFrame macro="">
      <xdr:nvGraphicFramePr>
        <xdr:cNvPr id="22" name="Chart 21">
          <a:extLst>
            <a:ext uri="{FF2B5EF4-FFF2-40B4-BE49-F238E27FC236}">
              <a16:creationId xmlns:a16="http://schemas.microsoft.com/office/drawing/2014/main" id="{866827D2-8DB0-415F-804E-7CC68D5FA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180977</xdr:colOff>
      <xdr:row>7</xdr:row>
      <xdr:rowOff>1</xdr:rowOff>
    </xdr:from>
    <xdr:to>
      <xdr:col>12</xdr:col>
      <xdr:colOff>323850</xdr:colOff>
      <xdr:row>21</xdr:row>
      <xdr:rowOff>171451</xdr:rowOff>
    </xdr:to>
    <xdr:graphicFrame macro="">
      <xdr:nvGraphicFramePr>
        <xdr:cNvPr id="2" name="Chart 1">
          <a:extLst>
            <a:ext uri="{FF2B5EF4-FFF2-40B4-BE49-F238E27FC236}">
              <a16:creationId xmlns:a16="http://schemas.microsoft.com/office/drawing/2014/main" id="{A3D3FE7E-8C67-39AE-21B2-5F3BC3EF0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31</xdr:row>
      <xdr:rowOff>2</xdr:rowOff>
    </xdr:from>
    <xdr:to>
      <xdr:col>10</xdr:col>
      <xdr:colOff>161925</xdr:colOff>
      <xdr:row>46</xdr:row>
      <xdr:rowOff>85726</xdr:rowOff>
    </xdr:to>
    <xdr:graphicFrame macro="">
      <xdr:nvGraphicFramePr>
        <xdr:cNvPr id="3" name="Chart 2">
          <a:extLst>
            <a:ext uri="{FF2B5EF4-FFF2-40B4-BE49-F238E27FC236}">
              <a16:creationId xmlns:a16="http://schemas.microsoft.com/office/drawing/2014/main" id="{425273A5-CFC9-9347-37B4-210AF8290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49</xdr:row>
      <xdr:rowOff>104775</xdr:rowOff>
    </xdr:from>
    <xdr:to>
      <xdr:col>6</xdr:col>
      <xdr:colOff>28575</xdr:colOff>
      <xdr:row>63</xdr:row>
      <xdr:rowOff>180975</xdr:rowOff>
    </xdr:to>
    <xdr:graphicFrame macro="">
      <xdr:nvGraphicFramePr>
        <xdr:cNvPr id="4" name="Chart 3">
          <a:extLst>
            <a:ext uri="{FF2B5EF4-FFF2-40B4-BE49-F238E27FC236}">
              <a16:creationId xmlns:a16="http://schemas.microsoft.com/office/drawing/2014/main" id="{5EA6DA6E-4C65-F18A-391C-E51FAED04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28574</xdr:colOff>
      <xdr:row>2</xdr:row>
      <xdr:rowOff>0</xdr:rowOff>
    </xdr:from>
    <xdr:to>
      <xdr:col>15</xdr:col>
      <xdr:colOff>465374</xdr:colOff>
      <xdr:row>9</xdr:row>
      <xdr:rowOff>156900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6D047C4D-4253-A079-1FA6-30D2752647C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91849" y="381000"/>
              <a:ext cx="1656000" cy="14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10</xdr:row>
      <xdr:rowOff>66224</xdr:rowOff>
    </xdr:from>
    <xdr:to>
      <xdr:col>15</xdr:col>
      <xdr:colOff>455850</xdr:colOff>
      <xdr:row>18</xdr:row>
      <xdr:rowOff>32624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A4ED151-5A73-105E-52BB-980FA2941F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82325" y="1971224"/>
              <a:ext cx="1656000" cy="1490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xdr:colOff>
      <xdr:row>64</xdr:row>
      <xdr:rowOff>114300</xdr:rowOff>
    </xdr:from>
    <xdr:to>
      <xdr:col>10</xdr:col>
      <xdr:colOff>600075</xdr:colOff>
      <xdr:row>78</xdr:row>
      <xdr:rowOff>152400</xdr:rowOff>
    </xdr:to>
    <xdr:graphicFrame macro="">
      <xdr:nvGraphicFramePr>
        <xdr:cNvPr id="7" name="Chart 6">
          <a:extLst>
            <a:ext uri="{FF2B5EF4-FFF2-40B4-BE49-F238E27FC236}">
              <a16:creationId xmlns:a16="http://schemas.microsoft.com/office/drawing/2014/main" id="{A23374E9-11A8-F46C-4316-9402372B8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refreshedDate="46080.826708796296" createdVersion="8" refreshedVersion="8" minRefreshableVersion="3" recordCount="96" xr:uid="{BCF0D914-BB09-427C-8D8E-FCD4E8CFA16B}">
  <cacheSource type="worksheet">
    <worksheetSource name="Table1"/>
  </cacheSource>
  <cacheFields count="10">
    <cacheField name="Date" numFmtId="14">
      <sharedItems containsSemiMixedTypes="0" containsNonDate="0" containsDate="1" containsString="0" minDate="2023-01-01T00:00:00" maxDate="2024-12-02T00:00:00" count="24">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Department" numFmtId="0">
      <sharedItems count="4">
        <s v="Sales"/>
        <s v="Marketing"/>
        <s v="Operations"/>
        <s v="Finance"/>
      </sharedItems>
    </cacheField>
    <cacheField name="Region" numFmtId="0">
      <sharedItems count="4">
        <s v="North"/>
        <s v="South"/>
        <s v="East"/>
        <s v="West"/>
      </sharedItems>
    </cacheField>
    <cacheField name="Revenue" numFmtId="0">
      <sharedItems containsSemiMixedTypes="0" containsString="0" containsNumber="1" containsInteger="1" minValue="53523" maxValue="199860"/>
    </cacheField>
    <cacheField name="Expenses" numFmtId="0">
      <sharedItems containsSemiMixedTypes="0" containsString="0" containsNumber="1" minValue="34285.14" maxValue="147331.04"/>
    </cacheField>
    <cacheField name="Profit" numFmtId="0">
      <sharedItems containsSemiMixedTypes="0" containsString="0" containsNumber="1" minValue="13485.599999999999" maxValue="94053.05"/>
    </cacheField>
    <cacheField name="Department Margin %" numFmtId="10">
      <sharedItems containsSemiMixedTypes="0" containsString="0" containsNumber="1" minValue="0.2" maxValue="0.5"/>
    </cacheField>
    <cacheField name="Months (Date)" numFmtId="0" databaseField="0">
      <fieldGroup base="0">
        <rangePr groupBy="months" startDate="2023-01-01T00:00:00" endDate="2024-12-02T00:00:00"/>
        <groupItems count="14">
          <s v="&lt;01-01-2023"/>
          <s v="Jan"/>
          <s v="Feb"/>
          <s v="Mar"/>
          <s v="Apr"/>
          <s v="May"/>
          <s v="Jun"/>
          <s v="Jul"/>
          <s v="Aug"/>
          <s v="Sep"/>
          <s v="Oct"/>
          <s v="Nov"/>
          <s v="Dec"/>
          <s v="&gt;02-12-2024"/>
        </groupItems>
      </fieldGroup>
    </cacheField>
    <cacheField name="Quarters (Date)" numFmtId="0" databaseField="0">
      <fieldGroup base="0">
        <rangePr groupBy="quarters" startDate="2023-01-01T00:00:00" endDate="2024-12-02T00:00:00"/>
        <groupItems count="6">
          <s v="&lt;01-01-2023"/>
          <s v="Qtr1"/>
          <s v="Qtr2"/>
          <s v="Qtr3"/>
          <s v="Qtr4"/>
          <s v="&gt;02-12-2024"/>
        </groupItems>
      </fieldGroup>
    </cacheField>
    <cacheField name="Years (Date)" numFmtId="0" databaseField="0">
      <fieldGroup base="0">
        <rangePr groupBy="years" startDate="2023-01-01T00:00:00" endDate="2024-12-02T00:00:00"/>
        <groupItems count="4">
          <s v="&lt;01-01-2023"/>
          <s v="2023"/>
          <s v="2024"/>
          <s v="&gt;02-12-2024"/>
        </groupItems>
      </fieldGroup>
    </cacheField>
  </cacheFields>
  <extLst>
    <ext xmlns:x14="http://schemas.microsoft.com/office/spreadsheetml/2009/9/main" uri="{725AE2AE-9491-48be-B2B4-4EB974FC3084}">
      <x14:pivotCacheDefinition pivotCacheId="933755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n v="71121"/>
    <n v="44806.23"/>
    <n v="26314.769999999997"/>
    <n v="0.36999999999999994"/>
  </r>
  <r>
    <x v="1"/>
    <x v="1"/>
    <x v="1"/>
    <n v="161514"/>
    <n v="114674.94"/>
    <n v="46839.06"/>
    <n v="0.28999999999999998"/>
  </r>
  <r>
    <x v="2"/>
    <x v="2"/>
    <x v="2"/>
    <n v="162679"/>
    <n v="102487.77"/>
    <n v="60191.229999999996"/>
    <n v="0.37"/>
  </r>
  <r>
    <x v="3"/>
    <x v="3"/>
    <x v="3"/>
    <n v="183312"/>
    <n v="119152.8"/>
    <n v="64159.199999999997"/>
    <n v="0.35"/>
  </r>
  <r>
    <x v="4"/>
    <x v="0"/>
    <x v="0"/>
    <n v="153180"/>
    <n v="111821.4"/>
    <n v="41358.600000000006"/>
    <n v="0.27"/>
  </r>
  <r>
    <x v="5"/>
    <x v="1"/>
    <x v="1"/>
    <n v="189100"/>
    <n v="117242"/>
    <n v="71858"/>
    <n v="0.38"/>
  </r>
  <r>
    <x v="6"/>
    <x v="2"/>
    <x v="2"/>
    <n v="54205"/>
    <n v="35775.300000000003"/>
    <n v="18429.699999999997"/>
    <n v="0.33999999999999997"/>
  </r>
  <r>
    <x v="7"/>
    <x v="3"/>
    <x v="3"/>
    <n v="180192"/>
    <n v="120728.64"/>
    <n v="59463.360000000001"/>
    <n v="0.33"/>
  </r>
  <r>
    <x v="8"/>
    <x v="0"/>
    <x v="0"/>
    <n v="136315"/>
    <n v="95420.5"/>
    <n v="40894.5"/>
    <n v="0.3"/>
  </r>
  <r>
    <x v="9"/>
    <x v="1"/>
    <x v="1"/>
    <n v="141882"/>
    <n v="72359.820000000007"/>
    <n v="69522.179999999993"/>
    <n v="0.48999999999999994"/>
  </r>
  <r>
    <x v="10"/>
    <x v="2"/>
    <x v="2"/>
    <n v="178985"/>
    <n v="116340.25"/>
    <n v="62644.75"/>
    <n v="0.35"/>
  </r>
  <r>
    <x v="11"/>
    <x v="3"/>
    <x v="3"/>
    <n v="54021"/>
    <n v="37814.699999999997"/>
    <n v="16206.300000000003"/>
    <n v="0.30000000000000004"/>
  </r>
  <r>
    <x v="12"/>
    <x v="0"/>
    <x v="0"/>
    <n v="199860"/>
    <n v="115918.8"/>
    <n v="83941.2"/>
    <n v="0.42"/>
  </r>
  <r>
    <x v="13"/>
    <x v="1"/>
    <x v="1"/>
    <n v="75652"/>
    <n v="56739"/>
    <n v="18913"/>
    <n v="0.25"/>
  </r>
  <r>
    <x v="14"/>
    <x v="2"/>
    <x v="2"/>
    <n v="104070"/>
    <n v="83256"/>
    <n v="20814"/>
    <n v="0.2"/>
  </r>
  <r>
    <x v="15"/>
    <x v="3"/>
    <x v="3"/>
    <n v="64320"/>
    <n v="45024"/>
    <n v="19296"/>
    <n v="0.3"/>
  </r>
  <r>
    <x v="16"/>
    <x v="0"/>
    <x v="0"/>
    <n v="68817"/>
    <n v="37849.35"/>
    <n v="30967.65"/>
    <n v="0.45"/>
  </r>
  <r>
    <x v="17"/>
    <x v="1"/>
    <x v="1"/>
    <n v="101520"/>
    <n v="73094.399999999994"/>
    <n v="28425.600000000006"/>
    <n v="0.28000000000000008"/>
  </r>
  <r>
    <x v="18"/>
    <x v="2"/>
    <x v="2"/>
    <n v="150929"/>
    <n v="83010.95"/>
    <n v="67918.05"/>
    <n v="0.45"/>
  </r>
  <r>
    <x v="19"/>
    <x v="3"/>
    <x v="3"/>
    <n v="126132"/>
    <n v="99644.28"/>
    <n v="26487.72"/>
    <n v="0.21000000000000002"/>
  </r>
  <r>
    <x v="20"/>
    <x v="0"/>
    <x v="0"/>
    <n v="147173"/>
    <n v="100077.64"/>
    <n v="47095.360000000001"/>
    <n v="0.32"/>
  </r>
  <r>
    <x v="21"/>
    <x v="1"/>
    <x v="1"/>
    <n v="103593"/>
    <n v="51796.5"/>
    <n v="51796.5"/>
    <n v="0.5"/>
  </r>
  <r>
    <x v="22"/>
    <x v="2"/>
    <x v="2"/>
    <n v="92008"/>
    <n v="73606.399999999994"/>
    <n v="18401.600000000006"/>
    <n v="0.20000000000000007"/>
  </r>
  <r>
    <x v="23"/>
    <x v="3"/>
    <x v="3"/>
    <n v="168298"/>
    <n v="134638.39999999999"/>
    <n v="33659.600000000006"/>
    <n v="0.20000000000000004"/>
  </r>
  <r>
    <x v="0"/>
    <x v="0"/>
    <x v="0"/>
    <n v="125716"/>
    <n v="74172.44"/>
    <n v="51543.56"/>
    <n v="0.41"/>
  </r>
  <r>
    <x v="1"/>
    <x v="1"/>
    <x v="1"/>
    <n v="85961"/>
    <n v="51576.6"/>
    <n v="34384.400000000001"/>
    <n v="0.4"/>
  </r>
  <r>
    <x v="2"/>
    <x v="2"/>
    <x v="2"/>
    <n v="79320"/>
    <n v="42039.6"/>
    <n v="37280.400000000001"/>
    <n v="0.47000000000000003"/>
  </r>
  <r>
    <x v="3"/>
    <x v="3"/>
    <x v="3"/>
    <n v="150369"/>
    <n v="94732.47"/>
    <n v="55636.53"/>
    <n v="0.37"/>
  </r>
  <r>
    <x v="4"/>
    <x v="0"/>
    <x v="0"/>
    <n v="130833"/>
    <n v="90274.77"/>
    <n v="40558.229999999996"/>
    <n v="0.30999999999999994"/>
  </r>
  <r>
    <x v="5"/>
    <x v="1"/>
    <x v="1"/>
    <n v="99116"/>
    <n v="70372.36"/>
    <n v="28743.64"/>
    <n v="0.28999999999999998"/>
  </r>
  <r>
    <x v="6"/>
    <x v="2"/>
    <x v="2"/>
    <n v="84011"/>
    <n v="49566.49"/>
    <n v="34444.51"/>
    <n v="0.41000000000000003"/>
  </r>
  <r>
    <x v="7"/>
    <x v="3"/>
    <x v="3"/>
    <n v="169622"/>
    <n v="106861.86"/>
    <n v="62760.14"/>
    <n v="0.37"/>
  </r>
  <r>
    <x v="8"/>
    <x v="0"/>
    <x v="0"/>
    <n v="74215"/>
    <n v="52692.65"/>
    <n v="21522.35"/>
    <n v="0.28999999999999998"/>
  </r>
  <r>
    <x v="9"/>
    <x v="1"/>
    <x v="1"/>
    <n v="160491"/>
    <n v="123578.07"/>
    <n v="36912.929999999993"/>
    <n v="0.22999999999999995"/>
  </r>
  <r>
    <x v="10"/>
    <x v="2"/>
    <x v="2"/>
    <n v="156132"/>
    <n v="96801.84"/>
    <n v="59330.16"/>
    <n v="0.38"/>
  </r>
  <r>
    <x v="11"/>
    <x v="3"/>
    <x v="3"/>
    <n v="170080"/>
    <n v="96945.600000000006"/>
    <n v="73134.399999999994"/>
    <n v="0.43"/>
  </r>
  <r>
    <x v="12"/>
    <x v="0"/>
    <x v="0"/>
    <n v="151537"/>
    <n v="92437.57"/>
    <n v="59099.429999999993"/>
    <n v="0.38999999999999996"/>
  </r>
  <r>
    <x v="13"/>
    <x v="1"/>
    <x v="1"/>
    <n v="157975"/>
    <n v="123220.5"/>
    <n v="34754.5"/>
    <n v="0.22"/>
  </r>
  <r>
    <x v="14"/>
    <x v="2"/>
    <x v="2"/>
    <n v="106260"/>
    <n v="77569.8"/>
    <n v="28690.199999999997"/>
    <n v="0.26999999999999996"/>
  </r>
  <r>
    <x v="15"/>
    <x v="3"/>
    <x v="3"/>
    <n v="190955"/>
    <n v="106934.8"/>
    <n v="84020.2"/>
    <n v="0.44"/>
  </r>
  <r>
    <x v="16"/>
    <x v="0"/>
    <x v="0"/>
    <n v="61300"/>
    <n v="43523"/>
    <n v="17777"/>
    <n v="0.28999999999999998"/>
  </r>
  <r>
    <x v="17"/>
    <x v="1"/>
    <x v="1"/>
    <n v="131784"/>
    <n v="72481.2"/>
    <n v="59302.8"/>
    <n v="0.45"/>
  </r>
  <r>
    <x v="18"/>
    <x v="2"/>
    <x v="2"/>
    <n v="89199"/>
    <n v="45491.49"/>
    <n v="43707.51"/>
    <n v="0.49000000000000005"/>
  </r>
  <r>
    <x v="19"/>
    <x v="3"/>
    <x v="3"/>
    <n v="142547"/>
    <n v="104059.31"/>
    <n v="38487.69"/>
    <n v="0.27"/>
  </r>
  <r>
    <x v="20"/>
    <x v="0"/>
    <x v="0"/>
    <n v="75262"/>
    <n v="38383.620000000003"/>
    <n v="36878.379999999997"/>
    <n v="0.49"/>
  </r>
  <r>
    <x v="21"/>
    <x v="1"/>
    <x v="1"/>
    <n v="67016"/>
    <n v="37528.959999999999"/>
    <n v="29487.040000000001"/>
    <n v="0.44"/>
  </r>
  <r>
    <x v="22"/>
    <x v="2"/>
    <x v="2"/>
    <n v="110847"/>
    <n v="67616.67"/>
    <n v="43230.33"/>
    <n v="0.39"/>
  </r>
  <r>
    <x v="23"/>
    <x v="3"/>
    <x v="3"/>
    <n v="164811"/>
    <n v="88997.94"/>
    <n v="75813.06"/>
    <n v="0.45999999999999996"/>
  </r>
  <r>
    <x v="0"/>
    <x v="0"/>
    <x v="0"/>
    <n v="77150"/>
    <n v="54005"/>
    <n v="23145"/>
    <n v="0.3"/>
  </r>
  <r>
    <x v="1"/>
    <x v="1"/>
    <x v="1"/>
    <n v="90739"/>
    <n v="58980.35"/>
    <n v="31758.65"/>
    <n v="0.35000000000000003"/>
  </r>
  <r>
    <x v="2"/>
    <x v="2"/>
    <x v="2"/>
    <n v="187174"/>
    <n v="102945.7"/>
    <n v="84228.3"/>
    <n v="0.45"/>
  </r>
  <r>
    <x v="3"/>
    <x v="3"/>
    <x v="3"/>
    <n v="109563"/>
    <n v="83267.88"/>
    <n v="26295.119999999995"/>
    <n v="0.23999999999999996"/>
  </r>
  <r>
    <x v="4"/>
    <x v="0"/>
    <x v="0"/>
    <n v="184835"/>
    <n v="96114.2"/>
    <n v="88720.8"/>
    <n v="0.48000000000000004"/>
  </r>
  <r>
    <x v="5"/>
    <x v="1"/>
    <x v="1"/>
    <n v="191945"/>
    <n v="97891.95"/>
    <n v="94053.05"/>
    <n v="0.49"/>
  </r>
  <r>
    <x v="6"/>
    <x v="2"/>
    <x v="2"/>
    <n v="159500"/>
    <n v="106865"/>
    <n v="52635"/>
    <n v="0.33"/>
  </r>
  <r>
    <x v="7"/>
    <x v="3"/>
    <x v="3"/>
    <n v="56190"/>
    <n v="42704.4"/>
    <n v="13485.599999999999"/>
    <n v="0.23999999999999996"/>
  </r>
  <r>
    <x v="8"/>
    <x v="0"/>
    <x v="0"/>
    <n v="185833"/>
    <n v="109641.47"/>
    <n v="76191.53"/>
    <n v="0.41"/>
  </r>
  <r>
    <x v="9"/>
    <x v="1"/>
    <x v="1"/>
    <n v="116394"/>
    <n v="86131.56"/>
    <n v="30262.440000000002"/>
    <n v="0.26"/>
  </r>
  <r>
    <x v="10"/>
    <x v="2"/>
    <x v="2"/>
    <n v="181381"/>
    <n v="112456.22"/>
    <n v="68924.78"/>
    <n v="0.38"/>
  </r>
  <r>
    <x v="11"/>
    <x v="3"/>
    <x v="3"/>
    <n v="112754"/>
    <n v="63142.239999999998"/>
    <n v="49611.76"/>
    <n v="0.44"/>
  </r>
  <r>
    <x v="12"/>
    <x v="0"/>
    <x v="0"/>
    <n v="107335"/>
    <n v="72987.8"/>
    <n v="34347.199999999997"/>
    <n v="0.31999999999999995"/>
  </r>
  <r>
    <x v="13"/>
    <x v="1"/>
    <x v="1"/>
    <n v="145127"/>
    <n v="100137.63"/>
    <n v="44989.369999999995"/>
    <n v="0.30999999999999994"/>
  </r>
  <r>
    <x v="14"/>
    <x v="2"/>
    <x v="2"/>
    <n v="141214"/>
    <n v="97437.66"/>
    <n v="43776.34"/>
    <n v="0.31"/>
  </r>
  <r>
    <x v="15"/>
    <x v="3"/>
    <x v="3"/>
    <n v="140443"/>
    <n v="109545.54"/>
    <n v="30897.460000000006"/>
    <n v="0.22000000000000006"/>
  </r>
  <r>
    <x v="16"/>
    <x v="0"/>
    <x v="0"/>
    <n v="157788"/>
    <n v="83627.64"/>
    <n v="74160.36"/>
    <n v="0.47000000000000003"/>
  </r>
  <r>
    <x v="17"/>
    <x v="1"/>
    <x v="1"/>
    <n v="182429"/>
    <n v="94863.08"/>
    <n v="87565.92"/>
    <n v="0.48"/>
  </r>
  <r>
    <x v="18"/>
    <x v="2"/>
    <x v="2"/>
    <n v="189686"/>
    <n v="98636.72"/>
    <n v="91049.279999999999"/>
    <n v="0.48"/>
  </r>
  <r>
    <x v="19"/>
    <x v="3"/>
    <x v="3"/>
    <n v="63491"/>
    <n v="34285.14"/>
    <n v="29205.86"/>
    <n v="0.46"/>
  </r>
  <r>
    <x v="20"/>
    <x v="0"/>
    <x v="0"/>
    <n v="186521"/>
    <n v="121238.65"/>
    <n v="65282.350000000006"/>
    <n v="0.35000000000000003"/>
  </r>
  <r>
    <x v="21"/>
    <x v="1"/>
    <x v="1"/>
    <n v="67762"/>
    <n v="54209.599999999999"/>
    <n v="13552.400000000001"/>
    <n v="0.2"/>
  </r>
  <r>
    <x v="22"/>
    <x v="2"/>
    <x v="2"/>
    <n v="130415"/>
    <n v="103027.85"/>
    <n v="27387.149999999994"/>
    <n v="0.20999999999999996"/>
  </r>
  <r>
    <x v="23"/>
    <x v="3"/>
    <x v="3"/>
    <n v="176349"/>
    <n v="91701.48"/>
    <n v="84647.52"/>
    <n v="0.48000000000000004"/>
  </r>
  <r>
    <x v="0"/>
    <x v="0"/>
    <x v="0"/>
    <n v="106837"/>
    <n v="74785.899999999994"/>
    <n v="32051.100000000006"/>
    <n v="0.30000000000000004"/>
  </r>
  <r>
    <x v="1"/>
    <x v="1"/>
    <x v="1"/>
    <n v="132435"/>
    <n v="82109.7"/>
    <n v="50325.3"/>
    <n v="0.38"/>
  </r>
  <r>
    <x v="2"/>
    <x v="2"/>
    <x v="2"/>
    <n v="184773"/>
    <n v="121950.18"/>
    <n v="62822.820000000007"/>
    <n v="0.34"/>
  </r>
  <r>
    <x v="3"/>
    <x v="3"/>
    <x v="3"/>
    <n v="143824"/>
    <n v="76226.720000000001"/>
    <n v="67597.279999999999"/>
    <n v="0.47"/>
  </r>
  <r>
    <x v="4"/>
    <x v="0"/>
    <x v="0"/>
    <n v="110134"/>
    <n v="64979.06"/>
    <n v="45154.94"/>
    <n v="0.41000000000000003"/>
  </r>
  <r>
    <x v="5"/>
    <x v="1"/>
    <x v="1"/>
    <n v="128792"/>
    <n v="88866.48"/>
    <n v="39925.520000000004"/>
    <n v="0.31000000000000005"/>
  </r>
  <r>
    <x v="6"/>
    <x v="2"/>
    <x v="2"/>
    <n v="75435"/>
    <n v="46015.35"/>
    <n v="29419.65"/>
    <n v="0.39"/>
  </r>
  <r>
    <x v="7"/>
    <x v="3"/>
    <x v="3"/>
    <n v="72309"/>
    <n v="44108.49"/>
    <n v="28200.510000000002"/>
    <n v="0.39"/>
  </r>
  <r>
    <x v="8"/>
    <x v="0"/>
    <x v="0"/>
    <n v="195379"/>
    <n v="142626.67000000001"/>
    <n v="52752.329999999987"/>
    <n v="0.26999999999999991"/>
  </r>
  <r>
    <x v="9"/>
    <x v="1"/>
    <x v="1"/>
    <n v="127255"/>
    <n v="90351.05"/>
    <n v="36903.949999999997"/>
    <n v="0.28999999999999998"/>
  </r>
  <r>
    <x v="10"/>
    <x v="2"/>
    <x v="2"/>
    <n v="178540"/>
    <n v="142832"/>
    <n v="35708"/>
    <n v="0.2"/>
  </r>
  <r>
    <x v="11"/>
    <x v="3"/>
    <x v="3"/>
    <n v="53523"/>
    <n v="37466.1"/>
    <n v="16056.900000000001"/>
    <n v="0.30000000000000004"/>
  </r>
  <r>
    <x v="12"/>
    <x v="0"/>
    <x v="0"/>
    <n v="113106"/>
    <n v="61077.24"/>
    <n v="52028.76"/>
    <n v="0.46"/>
  </r>
  <r>
    <x v="13"/>
    <x v="1"/>
    <x v="1"/>
    <n v="101869"/>
    <n v="77420.44"/>
    <n v="24448.559999999998"/>
    <n v="0.23999999999999996"/>
  </r>
  <r>
    <x v="14"/>
    <x v="2"/>
    <x v="2"/>
    <n v="184126"/>
    <n v="117840.64"/>
    <n v="66285.36"/>
    <n v="0.36"/>
  </r>
  <r>
    <x v="15"/>
    <x v="3"/>
    <x v="3"/>
    <n v="134333"/>
    <n v="67166.5"/>
    <n v="67166.5"/>
    <n v="0.5"/>
  </r>
  <r>
    <x v="16"/>
    <x v="0"/>
    <x v="0"/>
    <n v="161858"/>
    <n v="103589.12"/>
    <n v="58268.880000000005"/>
    <n v="0.36000000000000004"/>
  </r>
  <r>
    <x v="17"/>
    <x v="1"/>
    <x v="1"/>
    <n v="92195"/>
    <n v="47941.4"/>
    <n v="44253.599999999999"/>
    <n v="0.48"/>
  </r>
  <r>
    <x v="18"/>
    <x v="2"/>
    <x v="2"/>
    <n v="79333"/>
    <n v="41253.160000000003"/>
    <n v="38079.839999999997"/>
    <n v="0.48"/>
  </r>
  <r>
    <x v="19"/>
    <x v="3"/>
    <x v="3"/>
    <n v="104297"/>
    <n v="57363.35"/>
    <n v="46933.65"/>
    <n v="0.45"/>
  </r>
  <r>
    <x v="20"/>
    <x v="0"/>
    <x v="0"/>
    <n v="165571"/>
    <n v="112588.28"/>
    <n v="52982.720000000001"/>
    <n v="0.32"/>
  </r>
  <r>
    <x v="21"/>
    <x v="1"/>
    <x v="1"/>
    <n v="87093"/>
    <n v="66190.679999999993"/>
    <n v="20902.320000000007"/>
    <n v="0.24000000000000007"/>
  </r>
  <r>
    <x v="22"/>
    <x v="2"/>
    <x v="2"/>
    <n v="199096"/>
    <n v="147331.04"/>
    <n v="51764.959999999992"/>
    <n v="0.25999999999999995"/>
  </r>
  <r>
    <x v="23"/>
    <x v="3"/>
    <x v="3"/>
    <n v="80646"/>
    <n v="51613.440000000002"/>
    <n v="29032.559999999998"/>
    <n v="0.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F7561-DA16-4C39-914A-225CB884D6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2:J53" firstHeaderRow="0" firstDataRow="1" firstDataCol="0"/>
  <pivotFields count="1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1"/>
        <item x="2"/>
        <item x="0"/>
        <item t="default"/>
      </items>
    </pivotField>
    <pivotField showAll="0">
      <items count="5">
        <item x="2"/>
        <item x="0"/>
        <item x="1"/>
        <item x="3"/>
        <item t="default"/>
      </items>
    </pivotField>
    <pivotField dataField="1" showAll="0"/>
    <pivotField dataField="1" showAll="0"/>
    <pivotField dataField="1" showAll="0"/>
    <pivotField numFmtId="10"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Revenue" fld="3" baseField="0" baseItem="0" numFmtId="164"/>
    <dataField name="Sum of Expenses" fld="4" baseField="0" baseItem="0" numFmtId="164"/>
    <dataField name="Sum of Profit"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1095E-22C1-47B3-B516-FE78DEA9FD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B49" firstHeaderRow="1" firstDataRow="1" firstDataCol="1"/>
  <pivotFields count="1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1"/>
        <item x="2"/>
        <item x="0"/>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0" showAll="0"/>
    <pivotField showAll="0" defaultSubtotal="0"/>
    <pivotField showAll="0" defaultSubtotal="0"/>
    <pivotField showAll="0" defaultSubtotal="0">
      <items count="4">
        <item x="0"/>
        <item x="1"/>
        <item x="2"/>
        <item x="3"/>
      </items>
    </pivotField>
  </pivotFields>
  <rowFields count="1">
    <field x="2"/>
  </rowFields>
  <rowItems count="5">
    <i>
      <x/>
    </i>
    <i>
      <x v="1"/>
    </i>
    <i>
      <x v="3"/>
    </i>
    <i>
      <x v="2"/>
    </i>
    <i t="grand">
      <x/>
    </i>
  </rowItems>
  <colItems count="1">
    <i/>
  </colItems>
  <dataFields count="1">
    <dataField name="Sum of Revenue" fld="3" baseField="0" baseItem="0" numFmtId="164"/>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AD445-FA02-4352-8557-71E78BE4DB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C37" firstHeaderRow="0" firstDataRow="1" firstDataCol="1"/>
  <pivotFields count="1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5">
        <item x="3"/>
        <item x="1"/>
        <item x="2"/>
        <item x="0"/>
        <item t="default"/>
      </items>
    </pivotField>
    <pivotField showAll="0">
      <items count="5">
        <item x="2"/>
        <item x="0"/>
        <item x="1"/>
        <item x="3"/>
        <item t="default"/>
      </items>
    </pivotField>
    <pivotField dataField="1" showAll="0"/>
    <pivotField showAll="0"/>
    <pivotField dataField="1" showAll="0"/>
    <pivotField numFmtId="10" showAll="0"/>
    <pivotField showAll="0" defaultSubtotal="0"/>
    <pivotField showAll="0" defaultSubtotal="0"/>
    <pivotField showAll="0" defaultSubtotal="0">
      <items count="4">
        <item x="0"/>
        <item x="1"/>
        <item x="2"/>
        <item x="3"/>
      </items>
    </pivotField>
  </pivotFields>
  <rowFields count="1">
    <field x="1"/>
  </rowFields>
  <rowItems count="5">
    <i>
      <x/>
    </i>
    <i>
      <x v="1"/>
    </i>
    <i>
      <x v="2"/>
    </i>
    <i>
      <x v="3"/>
    </i>
    <i t="grand">
      <x/>
    </i>
  </rowItems>
  <colFields count="1">
    <field x="-2"/>
  </colFields>
  <colItems count="2">
    <i>
      <x/>
    </i>
    <i i="1">
      <x v="1"/>
    </i>
  </colItems>
  <dataFields count="2">
    <dataField name="Sum of Revenue" fld="3" baseField="0" baseItem="0" numFmtId="164"/>
    <dataField name="Sum of Profit" fld="5"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62108-76BB-4B3E-BCE9-21BD57724A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30" firstHeaderRow="1" firstDataRow="1" firstDataCol="1"/>
  <pivotFields count="1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3"/>
        <item x="1"/>
        <item x="2"/>
        <item x="0"/>
        <item t="default"/>
      </items>
    </pivotField>
    <pivotField showAll="0">
      <items count="5">
        <item x="2"/>
        <item x="0"/>
        <item x="1"/>
        <item x="3"/>
        <item t="default"/>
      </items>
    </pivotField>
    <pivotField dataField="1" showAll="0"/>
    <pivotField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7"/>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evenue" fld="3" baseField="0" baseItem="0" numFmtId="164"/>
  </dataField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BFF72F-9C0F-4360-8380-57241A580F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59:I64" firstHeaderRow="1" firstDataRow="1" firstDataCol="1"/>
  <pivotFields count="1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numFmtId="10" showAll="0"/>
    <pivotField showAll="0" defaultSubtotal="0"/>
    <pivotField showAll="0" defaultSubtotal="0"/>
    <pivotField showAll="0" defaultSubtotal="0">
      <items count="4">
        <item x="0"/>
        <item x="1"/>
        <item x="2"/>
        <item x="3"/>
      </items>
    </pivotField>
  </pivotFields>
  <rowFields count="1">
    <field x="1"/>
  </rowFields>
  <rowItems count="5">
    <i>
      <x v="3"/>
    </i>
    <i>
      <x/>
    </i>
    <i>
      <x v="2"/>
    </i>
    <i>
      <x v="1"/>
    </i>
    <i t="grand">
      <x/>
    </i>
  </rowItems>
  <colItems count="1">
    <i/>
  </colItems>
  <dataFields count="1">
    <dataField name="Average of Department Margin %" fld="6" subtotal="average" baseField="1"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05024EC-748D-41E0-9BA2-37BD1FDBB5D4}" sourceName="Department">
  <pivotTables>
    <pivotTable tabId="3" name="PivotTable1"/>
    <pivotTable tabId="3" name="PivotTable2"/>
    <pivotTable tabId="3" name="PivotTable4"/>
    <pivotTable tabId="3" name="PivotTable5"/>
    <pivotTable tabId="3" name="PivotTable6"/>
  </pivotTables>
  <data>
    <tabular pivotCacheId="93375570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1BC3EE-3A12-48CE-B355-C19661944E24}" sourceName="Region">
  <pivotTables>
    <pivotTable tabId="3" name="PivotTable1"/>
    <pivotTable tabId="3" name="PivotTable2"/>
    <pivotTable tabId="3" name="PivotTable4"/>
    <pivotTable tabId="3" name="PivotTable5"/>
    <pivotTable tabId="3" name="PivotTable6"/>
  </pivotTables>
  <data>
    <tabular pivotCacheId="93375570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46DCCA7-402C-4EEB-9DCC-C6D5A9FD9F06}" cache="Slicer_Department" caption="Department" style="SlicerStyleLight1 2" rowHeight="241300"/>
  <slicer name="Region 1" xr10:uid="{6B99A7EE-5E38-4558-A435-2001C218F8C4}" cache="Slicer_Region" caption="Region"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17DBB7C-6DE8-4E74-B4E9-21B51B24A591}" cache="Slicer_Department" caption="Department" rowHeight="241300"/>
  <slicer name="Region" xr10:uid="{2461E3E0-BBBB-4B04-8BC0-55B42066E15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DEE74D-1532-4D90-957A-E4C0E9193C6A}" name="Table1" displayName="Table1" ref="A1:G97" totalsRowShown="0" headerRowDxfId="3">
  <autoFilter ref="A1:G97" xr:uid="{1DDEE74D-1532-4D90-957A-E4C0E9193C6A}"/>
  <tableColumns count="7">
    <tableColumn id="1" xr3:uid="{1368261F-E059-4E79-A3AC-691DC8E7F748}" name="Date" dataDxfId="2">
      <calculatedColumnFormula>EDATE(A1,1)</calculatedColumnFormula>
    </tableColumn>
    <tableColumn id="2" xr3:uid="{3E8AEEDE-FFD5-4958-B5BD-7883C488C1D7}" name="Department">
      <calculatedColumnFormula>CHOOSE(MOD(ROW()-2,4)+1,"Sales","Marketing","Operations","Finance")</calculatedColumnFormula>
    </tableColumn>
    <tableColumn id="3" xr3:uid="{E61012E8-525C-4817-9624-FC8BD4C8E679}" name="Region">
      <calculatedColumnFormula>CHOOSE(MOD(ROW()-2,4)+1,"North","South","East","West")</calculatedColumnFormula>
    </tableColumn>
    <tableColumn id="4" xr3:uid="{51BE96BC-A5B9-4B3B-9BAF-B89541D34CFF}" name="Revenue"/>
    <tableColumn id="5" xr3:uid="{BB1D48E2-264F-4774-A80F-1EFF93D2212D}" name="Expenses"/>
    <tableColumn id="6" xr3:uid="{AB151CA4-2BCE-4DA6-A2DB-779CA6D37FC5}" name="Profit" dataDxfId="1">
      <calculatedColumnFormula>D2-E2</calculatedColumnFormula>
    </tableColumn>
    <tableColumn id="7" xr3:uid="{38F9B3DE-1C09-4BCC-805D-979AD5D20339}" name="Department Margin %" dataDxfId="0">
      <calculatedColumnFormula>F2/D2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idnight_Executive_Theme">
      <a:dk1>
        <a:srgbClr val="0B1F3A"/>
      </a:dk1>
      <a:lt1>
        <a:srgbClr val="FFFFFF"/>
      </a:lt1>
      <a:dk2>
        <a:srgbClr val="1C2833"/>
      </a:dk2>
      <a:lt2>
        <a:srgbClr val="F4F6F7"/>
      </a:lt2>
      <a:accent1>
        <a:srgbClr val="2E86C1"/>
      </a:accent1>
      <a:accent2>
        <a:srgbClr val="1F7A5C"/>
      </a:accent2>
      <a:accent3>
        <a:srgbClr val="85929E"/>
      </a:accent3>
      <a:accent4>
        <a:srgbClr val="34495E"/>
      </a:accent4>
      <a:accent5>
        <a:srgbClr val="5DADE2"/>
      </a:accent5>
      <a:accent6>
        <a:srgbClr val="48C9B0"/>
      </a:accent6>
      <a:hlink>
        <a:srgbClr val="2E86C1"/>
      </a:hlink>
      <a:folHlink>
        <a:srgbClr val="1F618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15B6-424F-45E8-892C-C638CB86CEA5}">
  <dimension ref="A1"/>
  <sheetViews>
    <sheetView showGridLines="0" tabSelected="1" topLeftCell="A34" zoomScaleNormal="100" workbookViewId="0">
      <selection activeCell="U50" sqref="U50"/>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017AA-3A62-45E1-9F17-C3E63AE79038}">
  <dimension ref="A3:L64"/>
  <sheetViews>
    <sheetView topLeftCell="C1" workbookViewId="0">
      <selection activeCell="K62" sqref="K62"/>
    </sheetView>
  </sheetViews>
  <sheetFormatPr defaultRowHeight="15" x14ac:dyDescent="0.25"/>
  <cols>
    <col min="1" max="1" width="13.140625" bestFit="1" customWidth="1"/>
    <col min="2" max="2" width="15.5703125" bestFit="1" customWidth="1"/>
    <col min="3" max="3" width="12.5703125" bestFit="1" customWidth="1"/>
    <col min="8" max="8" width="13.140625" bestFit="1" customWidth="1"/>
    <col min="9" max="9" width="31.140625" bestFit="1" customWidth="1"/>
    <col min="10" max="10" width="12.5703125" bestFit="1" customWidth="1"/>
    <col min="12" max="12" width="11.42578125" customWidth="1"/>
  </cols>
  <sheetData>
    <row r="3" spans="1:2" x14ac:dyDescent="0.25">
      <c r="A3" s="4" t="s">
        <v>5</v>
      </c>
      <c r="B3" t="s">
        <v>9</v>
      </c>
    </row>
    <row r="4" spans="1:2" x14ac:dyDescent="0.25">
      <c r="A4" s="5" t="s">
        <v>7</v>
      </c>
      <c r="B4" s="7">
        <v>6315066</v>
      </c>
    </row>
    <row r="5" spans="1:2" x14ac:dyDescent="0.25">
      <c r="A5" s="6" t="s">
        <v>10</v>
      </c>
      <c r="B5" s="7">
        <v>380824</v>
      </c>
    </row>
    <row r="6" spans="1:2" x14ac:dyDescent="0.25">
      <c r="A6" s="6" t="s">
        <v>11</v>
      </c>
      <c r="B6" s="7">
        <v>470649</v>
      </c>
    </row>
    <row r="7" spans="1:2" x14ac:dyDescent="0.25">
      <c r="A7" s="6" t="s">
        <v>12</v>
      </c>
      <c r="B7" s="7">
        <v>613946</v>
      </c>
    </row>
    <row r="8" spans="1:2" x14ac:dyDescent="0.25">
      <c r="A8" s="6" t="s">
        <v>13</v>
      </c>
      <c r="B8" s="7">
        <v>587068</v>
      </c>
    </row>
    <row r="9" spans="1:2" x14ac:dyDescent="0.25">
      <c r="A9" s="6" t="s">
        <v>14</v>
      </c>
      <c r="B9" s="7">
        <v>578982</v>
      </c>
    </row>
    <row r="10" spans="1:2" x14ac:dyDescent="0.25">
      <c r="A10" s="6" t="s">
        <v>15</v>
      </c>
      <c r="B10" s="7">
        <v>608953</v>
      </c>
    </row>
    <row r="11" spans="1:2" x14ac:dyDescent="0.25">
      <c r="A11" s="6" t="s">
        <v>16</v>
      </c>
      <c r="B11" s="7">
        <v>373151</v>
      </c>
    </row>
    <row r="12" spans="1:2" x14ac:dyDescent="0.25">
      <c r="A12" s="6" t="s">
        <v>17</v>
      </c>
      <c r="B12" s="7">
        <v>478313</v>
      </c>
    </row>
    <row r="13" spans="1:2" x14ac:dyDescent="0.25">
      <c r="A13" s="6" t="s">
        <v>18</v>
      </c>
      <c r="B13" s="7">
        <v>591742</v>
      </c>
    </row>
    <row r="14" spans="1:2" x14ac:dyDescent="0.25">
      <c r="A14" s="6" t="s">
        <v>19</v>
      </c>
      <c r="B14" s="7">
        <v>546022</v>
      </c>
    </row>
    <row r="15" spans="1:2" x14ac:dyDescent="0.25">
      <c r="A15" s="6" t="s">
        <v>20</v>
      </c>
      <c r="B15" s="7">
        <v>695038</v>
      </c>
    </row>
    <row r="16" spans="1:2" x14ac:dyDescent="0.25">
      <c r="A16" s="6" t="s">
        <v>21</v>
      </c>
      <c r="B16" s="7">
        <v>390378</v>
      </c>
    </row>
    <row r="17" spans="1:3" x14ac:dyDescent="0.25">
      <c r="A17" s="5" t="s">
        <v>8</v>
      </c>
      <c r="B17" s="7">
        <v>6043948</v>
      </c>
    </row>
    <row r="18" spans="1:3" x14ac:dyDescent="0.25">
      <c r="A18" s="6" t="s">
        <v>10</v>
      </c>
      <c r="B18" s="7">
        <v>571838</v>
      </c>
    </row>
    <row r="19" spans="1:3" x14ac:dyDescent="0.25">
      <c r="A19" s="6" t="s">
        <v>11</v>
      </c>
      <c r="B19" s="7">
        <v>480623</v>
      </c>
    </row>
    <row r="20" spans="1:3" x14ac:dyDescent="0.25">
      <c r="A20" s="6" t="s">
        <v>12</v>
      </c>
      <c r="B20" s="7">
        <v>535670</v>
      </c>
    </row>
    <row r="21" spans="1:3" x14ac:dyDescent="0.25">
      <c r="A21" s="6" t="s">
        <v>13</v>
      </c>
      <c r="B21" s="7">
        <v>530051</v>
      </c>
    </row>
    <row r="22" spans="1:3" x14ac:dyDescent="0.25">
      <c r="A22" s="6" t="s">
        <v>14</v>
      </c>
      <c r="B22" s="7">
        <v>449763</v>
      </c>
    </row>
    <row r="23" spans="1:3" x14ac:dyDescent="0.25">
      <c r="A23" s="6" t="s">
        <v>15</v>
      </c>
      <c r="B23" s="7">
        <v>507928</v>
      </c>
    </row>
    <row r="24" spans="1:3" x14ac:dyDescent="0.25">
      <c r="A24" s="6" t="s">
        <v>16</v>
      </c>
      <c r="B24" s="7">
        <v>509147</v>
      </c>
    </row>
    <row r="25" spans="1:3" x14ac:dyDescent="0.25">
      <c r="A25" s="6" t="s">
        <v>17</v>
      </c>
      <c r="B25" s="7">
        <v>436467</v>
      </c>
    </row>
    <row r="26" spans="1:3" x14ac:dyDescent="0.25">
      <c r="A26" s="6" t="s">
        <v>18</v>
      </c>
      <c r="B26" s="7">
        <v>574527</v>
      </c>
    </row>
    <row r="27" spans="1:3" x14ac:dyDescent="0.25">
      <c r="A27" s="6" t="s">
        <v>19</v>
      </c>
      <c r="B27" s="7">
        <v>325464</v>
      </c>
    </row>
    <row r="28" spans="1:3" x14ac:dyDescent="0.25">
      <c r="A28" s="6" t="s">
        <v>20</v>
      </c>
      <c r="B28" s="7">
        <v>532366</v>
      </c>
    </row>
    <row r="29" spans="1:3" x14ac:dyDescent="0.25">
      <c r="A29" s="6" t="s">
        <v>21</v>
      </c>
      <c r="B29" s="7">
        <v>590104</v>
      </c>
    </row>
    <row r="30" spans="1:3" x14ac:dyDescent="0.25">
      <c r="A30" s="5" t="s">
        <v>6</v>
      </c>
      <c r="B30" s="7">
        <v>12359014</v>
      </c>
    </row>
    <row r="32" spans="1:3" x14ac:dyDescent="0.25">
      <c r="A32" s="4" t="s">
        <v>5</v>
      </c>
      <c r="B32" t="s">
        <v>9</v>
      </c>
      <c r="C32" t="s">
        <v>28</v>
      </c>
    </row>
    <row r="33" spans="1:3" x14ac:dyDescent="0.25">
      <c r="A33" s="5" t="s">
        <v>22</v>
      </c>
      <c r="B33" s="7">
        <v>3012381</v>
      </c>
      <c r="C33">
        <v>1098254.92</v>
      </c>
    </row>
    <row r="34" spans="1:3" x14ac:dyDescent="0.25">
      <c r="A34" s="5" t="s">
        <v>23</v>
      </c>
      <c r="B34" s="7">
        <v>2939639</v>
      </c>
      <c r="C34">
        <v>1029880.73</v>
      </c>
    </row>
    <row r="35" spans="1:3" x14ac:dyDescent="0.25">
      <c r="A35" s="5" t="s">
        <v>24</v>
      </c>
      <c r="B35" s="7">
        <v>3259318</v>
      </c>
      <c r="C35">
        <v>1147163.9200000002</v>
      </c>
    </row>
    <row r="36" spans="1:3" x14ac:dyDescent="0.25">
      <c r="A36" s="5" t="s">
        <v>25</v>
      </c>
      <c r="B36" s="7">
        <v>3147676</v>
      </c>
      <c r="C36">
        <v>1153036.9999999998</v>
      </c>
    </row>
    <row r="37" spans="1:3" x14ac:dyDescent="0.25">
      <c r="A37" s="5" t="s">
        <v>6</v>
      </c>
      <c r="B37" s="7">
        <v>12359014</v>
      </c>
      <c r="C37">
        <v>4428336.57</v>
      </c>
    </row>
    <row r="44" spans="1:3" x14ac:dyDescent="0.25">
      <c r="A44" s="4" t="s">
        <v>5</v>
      </c>
      <c r="B44" t="s">
        <v>9</v>
      </c>
    </row>
    <row r="45" spans="1:3" x14ac:dyDescent="0.25">
      <c r="A45" s="5" t="s">
        <v>29</v>
      </c>
      <c r="B45" s="7">
        <v>3259318</v>
      </c>
    </row>
    <row r="46" spans="1:3" x14ac:dyDescent="0.25">
      <c r="A46" s="5" t="s">
        <v>30</v>
      </c>
      <c r="B46" s="7">
        <v>3147676</v>
      </c>
    </row>
    <row r="47" spans="1:3" x14ac:dyDescent="0.25">
      <c r="A47" s="5" t="s">
        <v>32</v>
      </c>
      <c r="B47" s="7">
        <v>3012381</v>
      </c>
    </row>
    <row r="48" spans="1:3" x14ac:dyDescent="0.25">
      <c r="A48" s="5" t="s">
        <v>31</v>
      </c>
      <c r="B48" s="7">
        <v>2939639</v>
      </c>
    </row>
    <row r="49" spans="1:12" x14ac:dyDescent="0.25">
      <c r="A49" s="5" t="s">
        <v>6</v>
      </c>
      <c r="B49" s="7">
        <v>12359014</v>
      </c>
    </row>
    <row r="52" spans="1:12" x14ac:dyDescent="0.25">
      <c r="H52" t="s">
        <v>9</v>
      </c>
      <c r="I52" t="s">
        <v>26</v>
      </c>
      <c r="J52" t="s">
        <v>28</v>
      </c>
    </row>
    <row r="53" spans="1:12" x14ac:dyDescent="0.25">
      <c r="H53" s="7">
        <v>12359014</v>
      </c>
      <c r="I53" s="7">
        <v>7930677.4299999988</v>
      </c>
      <c r="J53" s="7">
        <v>4428336.5699999966</v>
      </c>
      <c r="L53" s="8"/>
    </row>
    <row r="54" spans="1:12" x14ac:dyDescent="0.25">
      <c r="L54" s="9" t="s">
        <v>33</v>
      </c>
    </row>
    <row r="55" spans="1:12" x14ac:dyDescent="0.25">
      <c r="H55" s="7">
        <f>H53</f>
        <v>12359014</v>
      </c>
      <c r="I55" s="7">
        <f>I53</f>
        <v>7930677.4299999988</v>
      </c>
      <c r="J55" s="7">
        <f>J53</f>
        <v>4428336.5699999966</v>
      </c>
      <c r="L55" s="8">
        <f>J55/H55</f>
        <v>0.35830824125613875</v>
      </c>
    </row>
    <row r="59" spans="1:12" x14ac:dyDescent="0.25">
      <c r="H59" s="4" t="s">
        <v>5</v>
      </c>
      <c r="I59" t="s">
        <v>35</v>
      </c>
    </row>
    <row r="60" spans="1:12" x14ac:dyDescent="0.25">
      <c r="H60" s="5" t="s">
        <v>25</v>
      </c>
      <c r="I60" s="8">
        <v>0.36499999999999999</v>
      </c>
    </row>
    <row r="61" spans="1:12" x14ac:dyDescent="0.25">
      <c r="H61" s="5" t="s">
        <v>22</v>
      </c>
      <c r="I61" s="8">
        <v>0.35749999999999998</v>
      </c>
    </row>
    <row r="62" spans="1:12" x14ac:dyDescent="0.25">
      <c r="H62" s="5" t="s">
        <v>24</v>
      </c>
      <c r="I62" s="8">
        <v>0.35458333333333331</v>
      </c>
    </row>
    <row r="63" spans="1:12" x14ac:dyDescent="0.25">
      <c r="H63" s="5" t="s">
        <v>23</v>
      </c>
      <c r="I63" s="8">
        <v>0.34375</v>
      </c>
    </row>
    <row r="64" spans="1:12" x14ac:dyDescent="0.25">
      <c r="H64" s="5" t="s">
        <v>6</v>
      </c>
      <c r="I64" s="8">
        <v>0.35520833333333329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4574-238C-42E0-AE9F-F7AA10077065}">
  <dimension ref="A1:G702"/>
  <sheetViews>
    <sheetView topLeftCell="A2" zoomScaleNormal="100" workbookViewId="0">
      <selection activeCell="A77" sqref="A2:G97"/>
    </sheetView>
  </sheetViews>
  <sheetFormatPr defaultRowHeight="15" x14ac:dyDescent="0.25"/>
  <cols>
    <col min="1" max="1" width="11.42578125" customWidth="1"/>
    <col min="2" max="2" width="16.7109375" customWidth="1"/>
    <col min="3" max="3" width="9.28515625" customWidth="1"/>
    <col min="4" max="4" width="11.7109375" customWidth="1"/>
    <col min="5" max="5" width="12.5703125" customWidth="1"/>
    <col min="6" max="6" width="9.85546875" customWidth="1"/>
    <col min="7" max="7" width="22.85546875" customWidth="1"/>
  </cols>
  <sheetData>
    <row r="1" spans="1:7" s="3" customFormat="1" x14ac:dyDescent="0.25">
      <c r="A1" s="2" t="s">
        <v>0</v>
      </c>
      <c r="B1" s="2" t="s">
        <v>1</v>
      </c>
      <c r="C1" s="2" t="s">
        <v>2</v>
      </c>
      <c r="D1" s="2" t="s">
        <v>3</v>
      </c>
      <c r="E1" s="2" t="s">
        <v>4</v>
      </c>
      <c r="F1" s="2" t="s">
        <v>27</v>
      </c>
      <c r="G1" s="2" t="s">
        <v>34</v>
      </c>
    </row>
    <row r="2" spans="1:7" x14ac:dyDescent="0.25">
      <c r="A2" s="1">
        <v>44927</v>
      </c>
      <c r="B2" t="str">
        <f>CHOOSE(MOD(ROW()-2,4)+1,"Sales","Marketing","Operations","Finance")</f>
        <v>Sales</v>
      </c>
      <c r="C2" t="str">
        <f>CHOOSE(MOD(ROW()-2,4)+1,"North","South","East","West")</f>
        <v>North</v>
      </c>
      <c r="D2">
        <v>71121</v>
      </c>
      <c r="E2">
        <v>44806.23</v>
      </c>
      <c r="F2">
        <f t="shared" ref="F2:F65" si="0">D2-E2</f>
        <v>26314.769999999997</v>
      </c>
      <c r="G2" s="8">
        <f t="shared" ref="G2:G65" si="1">F2/D2</f>
        <v>0.36999999999999994</v>
      </c>
    </row>
    <row r="3" spans="1:7" x14ac:dyDescent="0.25">
      <c r="A3" s="1">
        <f>EDATE(A2,1)</f>
        <v>44958</v>
      </c>
      <c r="B3" t="str">
        <f t="shared" ref="B3:B66" si="2">CHOOSE(MOD(ROW()-2,4)+1,"Sales","Marketing","Operations","Finance")</f>
        <v>Marketing</v>
      </c>
      <c r="C3" t="str">
        <f t="shared" ref="C3:C66" si="3">CHOOSE(MOD(ROW()-2,4)+1,"North","South","East","West")</f>
        <v>South</v>
      </c>
      <c r="D3">
        <v>161514</v>
      </c>
      <c r="E3">
        <v>114674.94</v>
      </c>
      <c r="F3">
        <f t="shared" si="0"/>
        <v>46839.06</v>
      </c>
      <c r="G3" s="8">
        <f t="shared" si="1"/>
        <v>0.28999999999999998</v>
      </c>
    </row>
    <row r="4" spans="1:7" x14ac:dyDescent="0.25">
      <c r="A4" s="1">
        <f t="shared" ref="A4:A67" si="4">EDATE(A3,1)</f>
        <v>44986</v>
      </c>
      <c r="B4" t="str">
        <f t="shared" si="2"/>
        <v>Operations</v>
      </c>
      <c r="C4" t="str">
        <f t="shared" si="3"/>
        <v>East</v>
      </c>
      <c r="D4">
        <v>162679</v>
      </c>
      <c r="E4">
        <v>102487.77</v>
      </c>
      <c r="F4">
        <f t="shared" si="0"/>
        <v>60191.229999999996</v>
      </c>
      <c r="G4" s="8">
        <f t="shared" si="1"/>
        <v>0.37</v>
      </c>
    </row>
    <row r="5" spans="1:7" x14ac:dyDescent="0.25">
      <c r="A5" s="1">
        <f t="shared" si="4"/>
        <v>45017</v>
      </c>
      <c r="B5" t="str">
        <f t="shared" si="2"/>
        <v>Finance</v>
      </c>
      <c r="C5" t="str">
        <f t="shared" si="3"/>
        <v>West</v>
      </c>
      <c r="D5">
        <v>183312</v>
      </c>
      <c r="E5">
        <v>119152.8</v>
      </c>
      <c r="F5">
        <f t="shared" si="0"/>
        <v>64159.199999999997</v>
      </c>
      <c r="G5" s="8">
        <f t="shared" si="1"/>
        <v>0.35</v>
      </c>
    </row>
    <row r="6" spans="1:7" x14ac:dyDescent="0.25">
      <c r="A6" s="1">
        <f t="shared" si="4"/>
        <v>45047</v>
      </c>
      <c r="B6" t="str">
        <f t="shared" si="2"/>
        <v>Sales</v>
      </c>
      <c r="C6" t="str">
        <f t="shared" si="3"/>
        <v>North</v>
      </c>
      <c r="D6">
        <v>153180</v>
      </c>
      <c r="E6">
        <v>111821.4</v>
      </c>
      <c r="F6">
        <f t="shared" si="0"/>
        <v>41358.600000000006</v>
      </c>
      <c r="G6" s="8">
        <f t="shared" si="1"/>
        <v>0.27</v>
      </c>
    </row>
    <row r="7" spans="1:7" x14ac:dyDescent="0.25">
      <c r="A7" s="1">
        <f t="shared" si="4"/>
        <v>45078</v>
      </c>
      <c r="B7" t="str">
        <f t="shared" si="2"/>
        <v>Marketing</v>
      </c>
      <c r="C7" t="str">
        <f t="shared" si="3"/>
        <v>South</v>
      </c>
      <c r="D7">
        <v>189100</v>
      </c>
      <c r="E7">
        <v>117242</v>
      </c>
      <c r="F7">
        <f t="shared" si="0"/>
        <v>71858</v>
      </c>
      <c r="G7" s="8">
        <f t="shared" si="1"/>
        <v>0.38</v>
      </c>
    </row>
    <row r="8" spans="1:7" x14ac:dyDescent="0.25">
      <c r="A8" s="1">
        <f t="shared" si="4"/>
        <v>45108</v>
      </c>
      <c r="B8" t="str">
        <f t="shared" si="2"/>
        <v>Operations</v>
      </c>
      <c r="C8" t="str">
        <f t="shared" si="3"/>
        <v>East</v>
      </c>
      <c r="D8">
        <v>54205</v>
      </c>
      <c r="E8">
        <v>35775.300000000003</v>
      </c>
      <c r="F8">
        <f t="shared" si="0"/>
        <v>18429.699999999997</v>
      </c>
      <c r="G8" s="8">
        <f t="shared" si="1"/>
        <v>0.33999999999999997</v>
      </c>
    </row>
    <row r="9" spans="1:7" x14ac:dyDescent="0.25">
      <c r="A9" s="1">
        <f t="shared" si="4"/>
        <v>45139</v>
      </c>
      <c r="B9" t="str">
        <f t="shared" si="2"/>
        <v>Finance</v>
      </c>
      <c r="C9" t="str">
        <f t="shared" si="3"/>
        <v>West</v>
      </c>
      <c r="D9">
        <v>180192</v>
      </c>
      <c r="E9">
        <v>120728.64</v>
      </c>
      <c r="F9">
        <f t="shared" si="0"/>
        <v>59463.360000000001</v>
      </c>
      <c r="G9" s="8">
        <f t="shared" si="1"/>
        <v>0.33</v>
      </c>
    </row>
    <row r="10" spans="1:7" x14ac:dyDescent="0.25">
      <c r="A10" s="1">
        <f t="shared" si="4"/>
        <v>45170</v>
      </c>
      <c r="B10" t="str">
        <f t="shared" si="2"/>
        <v>Sales</v>
      </c>
      <c r="C10" t="str">
        <f t="shared" si="3"/>
        <v>North</v>
      </c>
      <c r="D10">
        <v>136315</v>
      </c>
      <c r="E10">
        <v>95420.5</v>
      </c>
      <c r="F10">
        <f t="shared" si="0"/>
        <v>40894.5</v>
      </c>
      <c r="G10" s="8">
        <f t="shared" si="1"/>
        <v>0.3</v>
      </c>
    </row>
    <row r="11" spans="1:7" x14ac:dyDescent="0.25">
      <c r="A11" s="1">
        <f t="shared" si="4"/>
        <v>45200</v>
      </c>
      <c r="B11" t="str">
        <f t="shared" si="2"/>
        <v>Marketing</v>
      </c>
      <c r="C11" t="str">
        <f t="shared" si="3"/>
        <v>South</v>
      </c>
      <c r="D11">
        <v>141882</v>
      </c>
      <c r="E11">
        <v>72359.820000000007</v>
      </c>
      <c r="F11">
        <f t="shared" si="0"/>
        <v>69522.179999999993</v>
      </c>
      <c r="G11" s="8">
        <f t="shared" si="1"/>
        <v>0.48999999999999994</v>
      </c>
    </row>
    <row r="12" spans="1:7" x14ac:dyDescent="0.25">
      <c r="A12" s="1">
        <f t="shared" si="4"/>
        <v>45231</v>
      </c>
      <c r="B12" t="str">
        <f t="shared" si="2"/>
        <v>Operations</v>
      </c>
      <c r="C12" t="str">
        <f t="shared" si="3"/>
        <v>East</v>
      </c>
      <c r="D12">
        <v>178985</v>
      </c>
      <c r="E12">
        <v>116340.25</v>
      </c>
      <c r="F12">
        <f t="shared" si="0"/>
        <v>62644.75</v>
      </c>
      <c r="G12" s="8">
        <f t="shared" si="1"/>
        <v>0.35</v>
      </c>
    </row>
    <row r="13" spans="1:7" x14ac:dyDescent="0.25">
      <c r="A13" s="1">
        <f t="shared" si="4"/>
        <v>45261</v>
      </c>
      <c r="B13" t="str">
        <f t="shared" si="2"/>
        <v>Finance</v>
      </c>
      <c r="C13" t="str">
        <f t="shared" si="3"/>
        <v>West</v>
      </c>
      <c r="D13">
        <v>54021</v>
      </c>
      <c r="E13">
        <v>37814.699999999997</v>
      </c>
      <c r="F13">
        <f t="shared" si="0"/>
        <v>16206.300000000003</v>
      </c>
      <c r="G13" s="8">
        <f t="shared" si="1"/>
        <v>0.30000000000000004</v>
      </c>
    </row>
    <row r="14" spans="1:7" x14ac:dyDescent="0.25">
      <c r="A14" s="1">
        <f t="shared" si="4"/>
        <v>45292</v>
      </c>
      <c r="B14" t="str">
        <f t="shared" si="2"/>
        <v>Sales</v>
      </c>
      <c r="C14" t="str">
        <f t="shared" si="3"/>
        <v>North</v>
      </c>
      <c r="D14">
        <v>199860</v>
      </c>
      <c r="E14">
        <v>115918.8</v>
      </c>
      <c r="F14">
        <f t="shared" si="0"/>
        <v>83941.2</v>
      </c>
      <c r="G14" s="8">
        <f t="shared" si="1"/>
        <v>0.42</v>
      </c>
    </row>
    <row r="15" spans="1:7" x14ac:dyDescent="0.25">
      <c r="A15" s="1">
        <f t="shared" si="4"/>
        <v>45323</v>
      </c>
      <c r="B15" t="str">
        <f t="shared" si="2"/>
        <v>Marketing</v>
      </c>
      <c r="C15" t="str">
        <f t="shared" si="3"/>
        <v>South</v>
      </c>
      <c r="D15">
        <v>75652</v>
      </c>
      <c r="E15">
        <v>56739</v>
      </c>
      <c r="F15">
        <f t="shared" si="0"/>
        <v>18913</v>
      </c>
      <c r="G15" s="8">
        <f t="shared" si="1"/>
        <v>0.25</v>
      </c>
    </row>
    <row r="16" spans="1:7" x14ac:dyDescent="0.25">
      <c r="A16" s="1">
        <f t="shared" si="4"/>
        <v>45352</v>
      </c>
      <c r="B16" t="str">
        <f t="shared" si="2"/>
        <v>Operations</v>
      </c>
      <c r="C16" t="str">
        <f t="shared" si="3"/>
        <v>East</v>
      </c>
      <c r="D16">
        <v>104070</v>
      </c>
      <c r="E16">
        <v>83256</v>
      </c>
      <c r="F16">
        <f t="shared" si="0"/>
        <v>20814</v>
      </c>
      <c r="G16" s="8">
        <f t="shared" si="1"/>
        <v>0.2</v>
      </c>
    </row>
    <row r="17" spans="1:7" x14ac:dyDescent="0.25">
      <c r="A17" s="1">
        <f t="shared" si="4"/>
        <v>45383</v>
      </c>
      <c r="B17" t="str">
        <f t="shared" si="2"/>
        <v>Finance</v>
      </c>
      <c r="C17" t="str">
        <f t="shared" si="3"/>
        <v>West</v>
      </c>
      <c r="D17">
        <v>64320</v>
      </c>
      <c r="E17">
        <v>45024</v>
      </c>
      <c r="F17">
        <f t="shared" si="0"/>
        <v>19296</v>
      </c>
      <c r="G17" s="8">
        <f t="shared" si="1"/>
        <v>0.3</v>
      </c>
    </row>
    <row r="18" spans="1:7" x14ac:dyDescent="0.25">
      <c r="A18" s="1">
        <f t="shared" si="4"/>
        <v>45413</v>
      </c>
      <c r="B18" t="str">
        <f t="shared" si="2"/>
        <v>Sales</v>
      </c>
      <c r="C18" t="str">
        <f t="shared" si="3"/>
        <v>North</v>
      </c>
      <c r="D18">
        <v>68817</v>
      </c>
      <c r="E18">
        <v>37849.35</v>
      </c>
      <c r="F18">
        <f t="shared" si="0"/>
        <v>30967.65</v>
      </c>
      <c r="G18" s="8">
        <f t="shared" si="1"/>
        <v>0.45</v>
      </c>
    </row>
    <row r="19" spans="1:7" x14ac:dyDescent="0.25">
      <c r="A19" s="1">
        <f t="shared" si="4"/>
        <v>45444</v>
      </c>
      <c r="B19" t="str">
        <f t="shared" si="2"/>
        <v>Marketing</v>
      </c>
      <c r="C19" t="str">
        <f t="shared" si="3"/>
        <v>South</v>
      </c>
      <c r="D19">
        <v>101520</v>
      </c>
      <c r="E19">
        <v>73094.399999999994</v>
      </c>
      <c r="F19">
        <f t="shared" si="0"/>
        <v>28425.600000000006</v>
      </c>
      <c r="G19" s="8">
        <f t="shared" si="1"/>
        <v>0.28000000000000008</v>
      </c>
    </row>
    <row r="20" spans="1:7" x14ac:dyDescent="0.25">
      <c r="A20" s="1">
        <f t="shared" si="4"/>
        <v>45474</v>
      </c>
      <c r="B20" t="str">
        <f t="shared" si="2"/>
        <v>Operations</v>
      </c>
      <c r="C20" t="str">
        <f t="shared" si="3"/>
        <v>East</v>
      </c>
      <c r="D20">
        <v>150929</v>
      </c>
      <c r="E20">
        <v>83010.95</v>
      </c>
      <c r="F20">
        <f t="shared" si="0"/>
        <v>67918.05</v>
      </c>
      <c r="G20" s="8">
        <f t="shared" si="1"/>
        <v>0.45</v>
      </c>
    </row>
    <row r="21" spans="1:7" x14ac:dyDescent="0.25">
      <c r="A21" s="1">
        <f t="shared" si="4"/>
        <v>45505</v>
      </c>
      <c r="B21" t="str">
        <f t="shared" si="2"/>
        <v>Finance</v>
      </c>
      <c r="C21" t="str">
        <f t="shared" si="3"/>
        <v>West</v>
      </c>
      <c r="D21">
        <v>126132</v>
      </c>
      <c r="E21">
        <v>99644.28</v>
      </c>
      <c r="F21">
        <f t="shared" si="0"/>
        <v>26487.72</v>
      </c>
      <c r="G21" s="8">
        <f t="shared" si="1"/>
        <v>0.21000000000000002</v>
      </c>
    </row>
    <row r="22" spans="1:7" x14ac:dyDescent="0.25">
      <c r="A22" s="1">
        <f t="shared" si="4"/>
        <v>45536</v>
      </c>
      <c r="B22" t="str">
        <f t="shared" si="2"/>
        <v>Sales</v>
      </c>
      <c r="C22" t="str">
        <f t="shared" si="3"/>
        <v>North</v>
      </c>
      <c r="D22">
        <v>147173</v>
      </c>
      <c r="E22">
        <v>100077.64</v>
      </c>
      <c r="F22">
        <f t="shared" si="0"/>
        <v>47095.360000000001</v>
      </c>
      <c r="G22" s="8">
        <f t="shared" si="1"/>
        <v>0.32</v>
      </c>
    </row>
    <row r="23" spans="1:7" x14ac:dyDescent="0.25">
      <c r="A23" s="1">
        <f t="shared" si="4"/>
        <v>45566</v>
      </c>
      <c r="B23" t="str">
        <f t="shared" si="2"/>
        <v>Marketing</v>
      </c>
      <c r="C23" t="str">
        <f t="shared" si="3"/>
        <v>South</v>
      </c>
      <c r="D23">
        <v>103593</v>
      </c>
      <c r="E23">
        <v>51796.5</v>
      </c>
      <c r="F23">
        <f t="shared" si="0"/>
        <v>51796.5</v>
      </c>
      <c r="G23" s="8">
        <f t="shared" si="1"/>
        <v>0.5</v>
      </c>
    </row>
    <row r="24" spans="1:7" x14ac:dyDescent="0.25">
      <c r="A24" s="1">
        <f t="shared" si="4"/>
        <v>45597</v>
      </c>
      <c r="B24" t="str">
        <f t="shared" si="2"/>
        <v>Operations</v>
      </c>
      <c r="C24" t="str">
        <f t="shared" si="3"/>
        <v>East</v>
      </c>
      <c r="D24">
        <v>92008</v>
      </c>
      <c r="E24">
        <v>73606.399999999994</v>
      </c>
      <c r="F24">
        <f t="shared" si="0"/>
        <v>18401.600000000006</v>
      </c>
      <c r="G24" s="8">
        <f t="shared" si="1"/>
        <v>0.20000000000000007</v>
      </c>
    </row>
    <row r="25" spans="1:7" x14ac:dyDescent="0.25">
      <c r="A25" s="1">
        <f t="shared" si="4"/>
        <v>45627</v>
      </c>
      <c r="B25" t="str">
        <f t="shared" si="2"/>
        <v>Finance</v>
      </c>
      <c r="C25" t="str">
        <f t="shared" si="3"/>
        <v>West</v>
      </c>
      <c r="D25">
        <v>168298</v>
      </c>
      <c r="E25">
        <v>134638.39999999999</v>
      </c>
      <c r="F25">
        <f t="shared" si="0"/>
        <v>33659.600000000006</v>
      </c>
      <c r="G25" s="8">
        <f t="shared" si="1"/>
        <v>0.20000000000000004</v>
      </c>
    </row>
    <row r="26" spans="1:7" x14ac:dyDescent="0.25">
      <c r="A26" s="1">
        <v>44927</v>
      </c>
      <c r="B26" t="str">
        <f t="shared" si="2"/>
        <v>Sales</v>
      </c>
      <c r="C26" t="str">
        <f t="shared" si="3"/>
        <v>North</v>
      </c>
      <c r="D26">
        <v>125716</v>
      </c>
      <c r="E26">
        <v>74172.44</v>
      </c>
      <c r="F26">
        <f t="shared" si="0"/>
        <v>51543.56</v>
      </c>
      <c r="G26" s="8">
        <f t="shared" si="1"/>
        <v>0.41</v>
      </c>
    </row>
    <row r="27" spans="1:7" x14ac:dyDescent="0.25">
      <c r="A27" s="1">
        <f>EDATE(A26,1)</f>
        <v>44958</v>
      </c>
      <c r="B27" t="str">
        <f t="shared" si="2"/>
        <v>Marketing</v>
      </c>
      <c r="C27" t="str">
        <f t="shared" si="3"/>
        <v>South</v>
      </c>
      <c r="D27">
        <v>85961</v>
      </c>
      <c r="E27">
        <v>51576.6</v>
      </c>
      <c r="F27">
        <f t="shared" si="0"/>
        <v>34384.400000000001</v>
      </c>
      <c r="G27" s="8">
        <f t="shared" si="1"/>
        <v>0.4</v>
      </c>
    </row>
    <row r="28" spans="1:7" x14ac:dyDescent="0.25">
      <c r="A28" s="1">
        <f t="shared" si="4"/>
        <v>44986</v>
      </c>
      <c r="B28" t="str">
        <f t="shared" si="2"/>
        <v>Operations</v>
      </c>
      <c r="C28" t="str">
        <f t="shared" si="3"/>
        <v>East</v>
      </c>
      <c r="D28">
        <v>79320</v>
      </c>
      <c r="E28">
        <v>42039.6</v>
      </c>
      <c r="F28">
        <f t="shared" si="0"/>
        <v>37280.400000000001</v>
      </c>
      <c r="G28" s="8">
        <f t="shared" si="1"/>
        <v>0.47000000000000003</v>
      </c>
    </row>
    <row r="29" spans="1:7" x14ac:dyDescent="0.25">
      <c r="A29" s="1">
        <f t="shared" si="4"/>
        <v>45017</v>
      </c>
      <c r="B29" t="str">
        <f t="shared" si="2"/>
        <v>Finance</v>
      </c>
      <c r="C29" t="str">
        <f t="shared" si="3"/>
        <v>West</v>
      </c>
      <c r="D29">
        <v>150369</v>
      </c>
      <c r="E29">
        <v>94732.47</v>
      </c>
      <c r="F29">
        <f t="shared" si="0"/>
        <v>55636.53</v>
      </c>
      <c r="G29" s="8">
        <f t="shared" si="1"/>
        <v>0.37</v>
      </c>
    </row>
    <row r="30" spans="1:7" x14ac:dyDescent="0.25">
      <c r="A30" s="1">
        <f t="shared" si="4"/>
        <v>45047</v>
      </c>
      <c r="B30" t="str">
        <f t="shared" si="2"/>
        <v>Sales</v>
      </c>
      <c r="C30" t="str">
        <f t="shared" si="3"/>
        <v>North</v>
      </c>
      <c r="D30">
        <v>130833</v>
      </c>
      <c r="E30">
        <v>90274.77</v>
      </c>
      <c r="F30">
        <f t="shared" si="0"/>
        <v>40558.229999999996</v>
      </c>
      <c r="G30" s="8">
        <f t="shared" si="1"/>
        <v>0.30999999999999994</v>
      </c>
    </row>
    <row r="31" spans="1:7" x14ac:dyDescent="0.25">
      <c r="A31" s="1">
        <f t="shared" si="4"/>
        <v>45078</v>
      </c>
      <c r="B31" t="str">
        <f t="shared" si="2"/>
        <v>Marketing</v>
      </c>
      <c r="C31" t="str">
        <f t="shared" si="3"/>
        <v>South</v>
      </c>
      <c r="D31">
        <v>99116</v>
      </c>
      <c r="E31">
        <v>70372.36</v>
      </c>
      <c r="F31">
        <f t="shared" si="0"/>
        <v>28743.64</v>
      </c>
      <c r="G31" s="8">
        <f t="shared" si="1"/>
        <v>0.28999999999999998</v>
      </c>
    </row>
    <row r="32" spans="1:7" x14ac:dyDescent="0.25">
      <c r="A32" s="1">
        <f t="shared" si="4"/>
        <v>45108</v>
      </c>
      <c r="B32" t="str">
        <f t="shared" si="2"/>
        <v>Operations</v>
      </c>
      <c r="C32" t="str">
        <f t="shared" si="3"/>
        <v>East</v>
      </c>
      <c r="D32">
        <v>84011</v>
      </c>
      <c r="E32">
        <v>49566.49</v>
      </c>
      <c r="F32">
        <f t="shared" si="0"/>
        <v>34444.51</v>
      </c>
      <c r="G32" s="8">
        <f t="shared" si="1"/>
        <v>0.41000000000000003</v>
      </c>
    </row>
    <row r="33" spans="1:7" x14ac:dyDescent="0.25">
      <c r="A33" s="1">
        <f t="shared" si="4"/>
        <v>45139</v>
      </c>
      <c r="B33" t="str">
        <f t="shared" si="2"/>
        <v>Finance</v>
      </c>
      <c r="C33" t="str">
        <f t="shared" si="3"/>
        <v>West</v>
      </c>
      <c r="D33">
        <v>169622</v>
      </c>
      <c r="E33">
        <v>106861.86</v>
      </c>
      <c r="F33">
        <f t="shared" si="0"/>
        <v>62760.14</v>
      </c>
      <c r="G33" s="8">
        <f t="shared" si="1"/>
        <v>0.37</v>
      </c>
    </row>
    <row r="34" spans="1:7" x14ac:dyDescent="0.25">
      <c r="A34" s="1">
        <f t="shared" si="4"/>
        <v>45170</v>
      </c>
      <c r="B34" t="str">
        <f t="shared" si="2"/>
        <v>Sales</v>
      </c>
      <c r="C34" t="str">
        <f t="shared" si="3"/>
        <v>North</v>
      </c>
      <c r="D34">
        <v>74215</v>
      </c>
      <c r="E34">
        <v>52692.65</v>
      </c>
      <c r="F34">
        <f t="shared" si="0"/>
        <v>21522.35</v>
      </c>
      <c r="G34" s="8">
        <f t="shared" si="1"/>
        <v>0.28999999999999998</v>
      </c>
    </row>
    <row r="35" spans="1:7" x14ac:dyDescent="0.25">
      <c r="A35" s="1">
        <f t="shared" si="4"/>
        <v>45200</v>
      </c>
      <c r="B35" t="str">
        <f t="shared" si="2"/>
        <v>Marketing</v>
      </c>
      <c r="C35" t="str">
        <f t="shared" si="3"/>
        <v>South</v>
      </c>
      <c r="D35">
        <v>160491</v>
      </c>
      <c r="E35">
        <v>123578.07</v>
      </c>
      <c r="F35">
        <f t="shared" si="0"/>
        <v>36912.929999999993</v>
      </c>
      <c r="G35" s="8">
        <f t="shared" si="1"/>
        <v>0.22999999999999995</v>
      </c>
    </row>
    <row r="36" spans="1:7" x14ac:dyDescent="0.25">
      <c r="A36" s="1">
        <f t="shared" si="4"/>
        <v>45231</v>
      </c>
      <c r="B36" t="str">
        <f t="shared" si="2"/>
        <v>Operations</v>
      </c>
      <c r="C36" t="str">
        <f t="shared" si="3"/>
        <v>East</v>
      </c>
      <c r="D36">
        <v>156132</v>
      </c>
      <c r="E36">
        <v>96801.84</v>
      </c>
      <c r="F36">
        <f t="shared" si="0"/>
        <v>59330.16</v>
      </c>
      <c r="G36" s="8">
        <f t="shared" si="1"/>
        <v>0.38</v>
      </c>
    </row>
    <row r="37" spans="1:7" x14ac:dyDescent="0.25">
      <c r="A37" s="1">
        <f t="shared" si="4"/>
        <v>45261</v>
      </c>
      <c r="B37" t="str">
        <f t="shared" si="2"/>
        <v>Finance</v>
      </c>
      <c r="C37" t="str">
        <f t="shared" si="3"/>
        <v>West</v>
      </c>
      <c r="D37">
        <v>170080</v>
      </c>
      <c r="E37">
        <v>96945.600000000006</v>
      </c>
      <c r="F37">
        <f t="shared" si="0"/>
        <v>73134.399999999994</v>
      </c>
      <c r="G37" s="8">
        <f t="shared" si="1"/>
        <v>0.43</v>
      </c>
    </row>
    <row r="38" spans="1:7" x14ac:dyDescent="0.25">
      <c r="A38" s="1">
        <f t="shared" si="4"/>
        <v>45292</v>
      </c>
      <c r="B38" t="str">
        <f t="shared" si="2"/>
        <v>Sales</v>
      </c>
      <c r="C38" t="str">
        <f t="shared" si="3"/>
        <v>North</v>
      </c>
      <c r="D38">
        <v>151537</v>
      </c>
      <c r="E38">
        <v>92437.57</v>
      </c>
      <c r="F38">
        <f t="shared" si="0"/>
        <v>59099.429999999993</v>
      </c>
      <c r="G38" s="8">
        <f t="shared" si="1"/>
        <v>0.38999999999999996</v>
      </c>
    </row>
    <row r="39" spans="1:7" x14ac:dyDescent="0.25">
      <c r="A39" s="1">
        <f t="shared" si="4"/>
        <v>45323</v>
      </c>
      <c r="B39" t="str">
        <f t="shared" si="2"/>
        <v>Marketing</v>
      </c>
      <c r="C39" t="str">
        <f t="shared" si="3"/>
        <v>South</v>
      </c>
      <c r="D39">
        <v>157975</v>
      </c>
      <c r="E39">
        <v>123220.5</v>
      </c>
      <c r="F39">
        <f t="shared" si="0"/>
        <v>34754.5</v>
      </c>
      <c r="G39" s="8">
        <f t="shared" si="1"/>
        <v>0.22</v>
      </c>
    </row>
    <row r="40" spans="1:7" x14ac:dyDescent="0.25">
      <c r="A40" s="1">
        <f t="shared" si="4"/>
        <v>45352</v>
      </c>
      <c r="B40" t="str">
        <f t="shared" si="2"/>
        <v>Operations</v>
      </c>
      <c r="C40" t="str">
        <f t="shared" si="3"/>
        <v>East</v>
      </c>
      <c r="D40">
        <v>106260</v>
      </c>
      <c r="E40">
        <v>77569.8</v>
      </c>
      <c r="F40">
        <f t="shared" si="0"/>
        <v>28690.199999999997</v>
      </c>
      <c r="G40" s="8">
        <f t="shared" si="1"/>
        <v>0.26999999999999996</v>
      </c>
    </row>
    <row r="41" spans="1:7" x14ac:dyDescent="0.25">
      <c r="A41" s="1">
        <f t="shared" si="4"/>
        <v>45383</v>
      </c>
      <c r="B41" t="str">
        <f t="shared" si="2"/>
        <v>Finance</v>
      </c>
      <c r="C41" t="str">
        <f t="shared" si="3"/>
        <v>West</v>
      </c>
      <c r="D41">
        <v>190955</v>
      </c>
      <c r="E41">
        <v>106934.8</v>
      </c>
      <c r="F41">
        <f t="shared" si="0"/>
        <v>84020.2</v>
      </c>
      <c r="G41" s="8">
        <f t="shared" si="1"/>
        <v>0.44</v>
      </c>
    </row>
    <row r="42" spans="1:7" x14ac:dyDescent="0.25">
      <c r="A42" s="1">
        <f t="shared" si="4"/>
        <v>45413</v>
      </c>
      <c r="B42" t="str">
        <f t="shared" si="2"/>
        <v>Sales</v>
      </c>
      <c r="C42" t="str">
        <f t="shared" si="3"/>
        <v>North</v>
      </c>
      <c r="D42">
        <v>61300</v>
      </c>
      <c r="E42">
        <v>43523</v>
      </c>
      <c r="F42">
        <f t="shared" si="0"/>
        <v>17777</v>
      </c>
      <c r="G42" s="8">
        <f t="shared" si="1"/>
        <v>0.28999999999999998</v>
      </c>
    </row>
    <row r="43" spans="1:7" x14ac:dyDescent="0.25">
      <c r="A43" s="1">
        <f t="shared" si="4"/>
        <v>45444</v>
      </c>
      <c r="B43" t="str">
        <f t="shared" si="2"/>
        <v>Marketing</v>
      </c>
      <c r="C43" t="str">
        <f t="shared" si="3"/>
        <v>South</v>
      </c>
      <c r="D43">
        <v>131784</v>
      </c>
      <c r="E43">
        <v>72481.2</v>
      </c>
      <c r="F43">
        <f t="shared" si="0"/>
        <v>59302.8</v>
      </c>
      <c r="G43" s="8">
        <f t="shared" si="1"/>
        <v>0.45</v>
      </c>
    </row>
    <row r="44" spans="1:7" x14ac:dyDescent="0.25">
      <c r="A44" s="1">
        <f t="shared" si="4"/>
        <v>45474</v>
      </c>
      <c r="B44" t="str">
        <f t="shared" si="2"/>
        <v>Operations</v>
      </c>
      <c r="C44" t="str">
        <f t="shared" si="3"/>
        <v>East</v>
      </c>
      <c r="D44">
        <v>89199</v>
      </c>
      <c r="E44">
        <v>45491.49</v>
      </c>
      <c r="F44">
        <f t="shared" si="0"/>
        <v>43707.51</v>
      </c>
      <c r="G44" s="8">
        <f t="shared" si="1"/>
        <v>0.49000000000000005</v>
      </c>
    </row>
    <row r="45" spans="1:7" x14ac:dyDescent="0.25">
      <c r="A45" s="1">
        <f t="shared" si="4"/>
        <v>45505</v>
      </c>
      <c r="B45" t="str">
        <f t="shared" si="2"/>
        <v>Finance</v>
      </c>
      <c r="C45" t="str">
        <f t="shared" si="3"/>
        <v>West</v>
      </c>
      <c r="D45">
        <v>142547</v>
      </c>
      <c r="E45">
        <v>104059.31</v>
      </c>
      <c r="F45">
        <f t="shared" si="0"/>
        <v>38487.69</v>
      </c>
      <c r="G45" s="8">
        <f t="shared" si="1"/>
        <v>0.27</v>
      </c>
    </row>
    <row r="46" spans="1:7" x14ac:dyDescent="0.25">
      <c r="A46" s="1">
        <f t="shared" si="4"/>
        <v>45536</v>
      </c>
      <c r="B46" t="str">
        <f t="shared" si="2"/>
        <v>Sales</v>
      </c>
      <c r="C46" t="str">
        <f t="shared" si="3"/>
        <v>North</v>
      </c>
      <c r="D46">
        <v>75262</v>
      </c>
      <c r="E46">
        <v>38383.620000000003</v>
      </c>
      <c r="F46">
        <f t="shared" si="0"/>
        <v>36878.379999999997</v>
      </c>
      <c r="G46" s="8">
        <f t="shared" si="1"/>
        <v>0.49</v>
      </c>
    </row>
    <row r="47" spans="1:7" x14ac:dyDescent="0.25">
      <c r="A47" s="1">
        <f t="shared" si="4"/>
        <v>45566</v>
      </c>
      <c r="B47" t="str">
        <f t="shared" si="2"/>
        <v>Marketing</v>
      </c>
      <c r="C47" t="str">
        <f t="shared" si="3"/>
        <v>South</v>
      </c>
      <c r="D47">
        <v>67016</v>
      </c>
      <c r="E47">
        <v>37528.959999999999</v>
      </c>
      <c r="F47">
        <f t="shared" si="0"/>
        <v>29487.040000000001</v>
      </c>
      <c r="G47" s="8">
        <f t="shared" si="1"/>
        <v>0.44</v>
      </c>
    </row>
    <row r="48" spans="1:7" x14ac:dyDescent="0.25">
      <c r="A48" s="1">
        <f t="shared" si="4"/>
        <v>45597</v>
      </c>
      <c r="B48" t="str">
        <f t="shared" si="2"/>
        <v>Operations</v>
      </c>
      <c r="C48" t="str">
        <f t="shared" si="3"/>
        <v>East</v>
      </c>
      <c r="D48">
        <v>110847</v>
      </c>
      <c r="E48">
        <v>67616.67</v>
      </c>
      <c r="F48">
        <f t="shared" si="0"/>
        <v>43230.33</v>
      </c>
      <c r="G48" s="8">
        <f t="shared" si="1"/>
        <v>0.39</v>
      </c>
    </row>
    <row r="49" spans="1:7" x14ac:dyDescent="0.25">
      <c r="A49" s="1">
        <f t="shared" si="4"/>
        <v>45627</v>
      </c>
      <c r="B49" t="str">
        <f t="shared" si="2"/>
        <v>Finance</v>
      </c>
      <c r="C49" t="str">
        <f t="shared" si="3"/>
        <v>West</v>
      </c>
      <c r="D49">
        <v>164811</v>
      </c>
      <c r="E49">
        <v>88997.94</v>
      </c>
      <c r="F49">
        <f t="shared" si="0"/>
        <v>75813.06</v>
      </c>
      <c r="G49" s="8">
        <f t="shared" si="1"/>
        <v>0.45999999999999996</v>
      </c>
    </row>
    <row r="50" spans="1:7" x14ac:dyDescent="0.25">
      <c r="A50" s="1">
        <v>44927</v>
      </c>
      <c r="B50" t="str">
        <f t="shared" si="2"/>
        <v>Sales</v>
      </c>
      <c r="C50" t="str">
        <f t="shared" si="3"/>
        <v>North</v>
      </c>
      <c r="D50">
        <v>77150</v>
      </c>
      <c r="E50">
        <v>54005</v>
      </c>
      <c r="F50">
        <f t="shared" si="0"/>
        <v>23145</v>
      </c>
      <c r="G50" s="8">
        <f t="shared" si="1"/>
        <v>0.3</v>
      </c>
    </row>
    <row r="51" spans="1:7" x14ac:dyDescent="0.25">
      <c r="A51" s="1">
        <f>EDATE(A50,1)</f>
        <v>44958</v>
      </c>
      <c r="B51" t="str">
        <f t="shared" si="2"/>
        <v>Marketing</v>
      </c>
      <c r="C51" t="str">
        <f t="shared" si="3"/>
        <v>South</v>
      </c>
      <c r="D51">
        <v>90739</v>
      </c>
      <c r="E51">
        <v>58980.35</v>
      </c>
      <c r="F51">
        <f t="shared" si="0"/>
        <v>31758.65</v>
      </c>
      <c r="G51" s="8">
        <f t="shared" si="1"/>
        <v>0.35000000000000003</v>
      </c>
    </row>
    <row r="52" spans="1:7" x14ac:dyDescent="0.25">
      <c r="A52" s="1">
        <f t="shared" si="4"/>
        <v>44986</v>
      </c>
      <c r="B52" t="str">
        <f t="shared" si="2"/>
        <v>Operations</v>
      </c>
      <c r="C52" t="str">
        <f t="shared" si="3"/>
        <v>East</v>
      </c>
      <c r="D52">
        <v>187174</v>
      </c>
      <c r="E52">
        <v>102945.7</v>
      </c>
      <c r="F52">
        <f t="shared" si="0"/>
        <v>84228.3</v>
      </c>
      <c r="G52" s="8">
        <f t="shared" si="1"/>
        <v>0.45</v>
      </c>
    </row>
    <row r="53" spans="1:7" x14ac:dyDescent="0.25">
      <c r="A53" s="1">
        <f t="shared" si="4"/>
        <v>45017</v>
      </c>
      <c r="B53" t="str">
        <f t="shared" si="2"/>
        <v>Finance</v>
      </c>
      <c r="C53" t="str">
        <f t="shared" si="3"/>
        <v>West</v>
      </c>
      <c r="D53">
        <v>109563</v>
      </c>
      <c r="E53">
        <v>83267.88</v>
      </c>
      <c r="F53">
        <f t="shared" si="0"/>
        <v>26295.119999999995</v>
      </c>
      <c r="G53" s="8">
        <f t="shared" si="1"/>
        <v>0.23999999999999996</v>
      </c>
    </row>
    <row r="54" spans="1:7" x14ac:dyDescent="0.25">
      <c r="A54" s="1">
        <f t="shared" si="4"/>
        <v>45047</v>
      </c>
      <c r="B54" t="str">
        <f t="shared" si="2"/>
        <v>Sales</v>
      </c>
      <c r="C54" t="str">
        <f t="shared" si="3"/>
        <v>North</v>
      </c>
      <c r="D54">
        <v>184835</v>
      </c>
      <c r="E54">
        <v>96114.2</v>
      </c>
      <c r="F54">
        <f t="shared" si="0"/>
        <v>88720.8</v>
      </c>
      <c r="G54" s="8">
        <f t="shared" si="1"/>
        <v>0.48000000000000004</v>
      </c>
    </row>
    <row r="55" spans="1:7" x14ac:dyDescent="0.25">
      <c r="A55" s="1">
        <f t="shared" si="4"/>
        <v>45078</v>
      </c>
      <c r="B55" t="str">
        <f t="shared" si="2"/>
        <v>Marketing</v>
      </c>
      <c r="C55" t="str">
        <f t="shared" si="3"/>
        <v>South</v>
      </c>
      <c r="D55">
        <v>191945</v>
      </c>
      <c r="E55">
        <v>97891.95</v>
      </c>
      <c r="F55">
        <f t="shared" si="0"/>
        <v>94053.05</v>
      </c>
      <c r="G55" s="8">
        <f t="shared" si="1"/>
        <v>0.49</v>
      </c>
    </row>
    <row r="56" spans="1:7" x14ac:dyDescent="0.25">
      <c r="A56" s="1">
        <f t="shared" si="4"/>
        <v>45108</v>
      </c>
      <c r="B56" t="str">
        <f t="shared" si="2"/>
        <v>Operations</v>
      </c>
      <c r="C56" t="str">
        <f t="shared" si="3"/>
        <v>East</v>
      </c>
      <c r="D56">
        <v>159500</v>
      </c>
      <c r="E56">
        <v>106865</v>
      </c>
      <c r="F56">
        <f t="shared" si="0"/>
        <v>52635</v>
      </c>
      <c r="G56" s="8">
        <f t="shared" si="1"/>
        <v>0.33</v>
      </c>
    </row>
    <row r="57" spans="1:7" x14ac:dyDescent="0.25">
      <c r="A57" s="1">
        <f t="shared" si="4"/>
        <v>45139</v>
      </c>
      <c r="B57" t="str">
        <f t="shared" si="2"/>
        <v>Finance</v>
      </c>
      <c r="C57" t="str">
        <f t="shared" si="3"/>
        <v>West</v>
      </c>
      <c r="D57">
        <v>56190</v>
      </c>
      <c r="E57">
        <v>42704.4</v>
      </c>
      <c r="F57">
        <f t="shared" si="0"/>
        <v>13485.599999999999</v>
      </c>
      <c r="G57" s="8">
        <f t="shared" si="1"/>
        <v>0.23999999999999996</v>
      </c>
    </row>
    <row r="58" spans="1:7" x14ac:dyDescent="0.25">
      <c r="A58" s="1">
        <f t="shared" si="4"/>
        <v>45170</v>
      </c>
      <c r="B58" t="str">
        <f t="shared" si="2"/>
        <v>Sales</v>
      </c>
      <c r="C58" t="str">
        <f t="shared" si="3"/>
        <v>North</v>
      </c>
      <c r="D58">
        <v>185833</v>
      </c>
      <c r="E58">
        <v>109641.47</v>
      </c>
      <c r="F58">
        <f t="shared" si="0"/>
        <v>76191.53</v>
      </c>
      <c r="G58" s="8">
        <f t="shared" si="1"/>
        <v>0.41</v>
      </c>
    </row>
    <row r="59" spans="1:7" x14ac:dyDescent="0.25">
      <c r="A59" s="1">
        <f t="shared" si="4"/>
        <v>45200</v>
      </c>
      <c r="B59" t="str">
        <f t="shared" si="2"/>
        <v>Marketing</v>
      </c>
      <c r="C59" t="str">
        <f t="shared" si="3"/>
        <v>South</v>
      </c>
      <c r="D59">
        <v>116394</v>
      </c>
      <c r="E59">
        <v>86131.56</v>
      </c>
      <c r="F59">
        <f t="shared" si="0"/>
        <v>30262.440000000002</v>
      </c>
      <c r="G59" s="8">
        <f t="shared" si="1"/>
        <v>0.26</v>
      </c>
    </row>
    <row r="60" spans="1:7" x14ac:dyDescent="0.25">
      <c r="A60" s="1">
        <f t="shared" si="4"/>
        <v>45231</v>
      </c>
      <c r="B60" t="str">
        <f t="shared" si="2"/>
        <v>Operations</v>
      </c>
      <c r="C60" t="str">
        <f t="shared" si="3"/>
        <v>East</v>
      </c>
      <c r="D60">
        <v>181381</v>
      </c>
      <c r="E60">
        <v>112456.22</v>
      </c>
      <c r="F60">
        <f t="shared" si="0"/>
        <v>68924.78</v>
      </c>
      <c r="G60" s="8">
        <f t="shared" si="1"/>
        <v>0.38</v>
      </c>
    </row>
    <row r="61" spans="1:7" x14ac:dyDescent="0.25">
      <c r="A61" s="1">
        <f t="shared" si="4"/>
        <v>45261</v>
      </c>
      <c r="B61" t="str">
        <f t="shared" si="2"/>
        <v>Finance</v>
      </c>
      <c r="C61" t="str">
        <f t="shared" si="3"/>
        <v>West</v>
      </c>
      <c r="D61">
        <v>112754</v>
      </c>
      <c r="E61">
        <v>63142.239999999998</v>
      </c>
      <c r="F61">
        <f t="shared" si="0"/>
        <v>49611.76</v>
      </c>
      <c r="G61" s="8">
        <f t="shared" si="1"/>
        <v>0.44</v>
      </c>
    </row>
    <row r="62" spans="1:7" x14ac:dyDescent="0.25">
      <c r="A62" s="1">
        <f t="shared" si="4"/>
        <v>45292</v>
      </c>
      <c r="B62" t="str">
        <f t="shared" si="2"/>
        <v>Sales</v>
      </c>
      <c r="C62" t="str">
        <f t="shared" si="3"/>
        <v>North</v>
      </c>
      <c r="D62">
        <v>107335</v>
      </c>
      <c r="E62">
        <v>72987.8</v>
      </c>
      <c r="F62">
        <f t="shared" si="0"/>
        <v>34347.199999999997</v>
      </c>
      <c r="G62" s="8">
        <f t="shared" si="1"/>
        <v>0.31999999999999995</v>
      </c>
    </row>
    <row r="63" spans="1:7" x14ac:dyDescent="0.25">
      <c r="A63" s="1">
        <f t="shared" si="4"/>
        <v>45323</v>
      </c>
      <c r="B63" t="str">
        <f t="shared" si="2"/>
        <v>Marketing</v>
      </c>
      <c r="C63" t="str">
        <f t="shared" si="3"/>
        <v>South</v>
      </c>
      <c r="D63">
        <v>145127</v>
      </c>
      <c r="E63">
        <v>100137.63</v>
      </c>
      <c r="F63">
        <f t="shared" si="0"/>
        <v>44989.369999999995</v>
      </c>
      <c r="G63" s="8">
        <f t="shared" si="1"/>
        <v>0.30999999999999994</v>
      </c>
    </row>
    <row r="64" spans="1:7" x14ac:dyDescent="0.25">
      <c r="A64" s="1">
        <f t="shared" si="4"/>
        <v>45352</v>
      </c>
      <c r="B64" t="str">
        <f t="shared" si="2"/>
        <v>Operations</v>
      </c>
      <c r="C64" t="str">
        <f t="shared" si="3"/>
        <v>East</v>
      </c>
      <c r="D64">
        <v>141214</v>
      </c>
      <c r="E64">
        <v>97437.66</v>
      </c>
      <c r="F64">
        <f t="shared" si="0"/>
        <v>43776.34</v>
      </c>
      <c r="G64" s="8">
        <f t="shared" si="1"/>
        <v>0.31</v>
      </c>
    </row>
    <row r="65" spans="1:7" x14ac:dyDescent="0.25">
      <c r="A65" s="1">
        <f t="shared" si="4"/>
        <v>45383</v>
      </c>
      <c r="B65" t="str">
        <f t="shared" si="2"/>
        <v>Finance</v>
      </c>
      <c r="C65" t="str">
        <f t="shared" si="3"/>
        <v>West</v>
      </c>
      <c r="D65">
        <v>140443</v>
      </c>
      <c r="E65">
        <v>109545.54</v>
      </c>
      <c r="F65">
        <f t="shared" si="0"/>
        <v>30897.460000000006</v>
      </c>
      <c r="G65" s="8">
        <f t="shared" si="1"/>
        <v>0.22000000000000006</v>
      </c>
    </row>
    <row r="66" spans="1:7" x14ac:dyDescent="0.25">
      <c r="A66" s="1">
        <f t="shared" si="4"/>
        <v>45413</v>
      </c>
      <c r="B66" t="str">
        <f t="shared" si="2"/>
        <v>Sales</v>
      </c>
      <c r="C66" t="str">
        <f t="shared" si="3"/>
        <v>North</v>
      </c>
      <c r="D66">
        <v>157788</v>
      </c>
      <c r="E66">
        <v>83627.64</v>
      </c>
      <c r="F66">
        <f t="shared" ref="F66:F97" si="5">D66-E66</f>
        <v>74160.36</v>
      </c>
      <c r="G66" s="8">
        <f t="shared" ref="G66:G97" si="6">F66/D66</f>
        <v>0.47000000000000003</v>
      </c>
    </row>
    <row r="67" spans="1:7" x14ac:dyDescent="0.25">
      <c r="A67" s="1">
        <f t="shared" si="4"/>
        <v>45444</v>
      </c>
      <c r="B67" t="str">
        <f t="shared" ref="B67:B97" si="7">CHOOSE(MOD(ROW()-2,4)+1,"Sales","Marketing","Operations","Finance")</f>
        <v>Marketing</v>
      </c>
      <c r="C67" t="str">
        <f t="shared" ref="C67:C97" si="8">CHOOSE(MOD(ROW()-2,4)+1,"North","South","East","West")</f>
        <v>South</v>
      </c>
      <c r="D67">
        <v>182429</v>
      </c>
      <c r="E67">
        <v>94863.08</v>
      </c>
      <c r="F67">
        <f t="shared" si="5"/>
        <v>87565.92</v>
      </c>
      <c r="G67" s="8">
        <f t="shared" si="6"/>
        <v>0.48</v>
      </c>
    </row>
    <row r="68" spans="1:7" x14ac:dyDescent="0.25">
      <c r="A68" s="1">
        <f t="shared" ref="A68:A73" si="9">EDATE(A67,1)</f>
        <v>45474</v>
      </c>
      <c r="B68" t="str">
        <f t="shared" si="7"/>
        <v>Operations</v>
      </c>
      <c r="C68" t="str">
        <f t="shared" si="8"/>
        <v>East</v>
      </c>
      <c r="D68">
        <v>189686</v>
      </c>
      <c r="E68">
        <v>98636.72</v>
      </c>
      <c r="F68">
        <f t="shared" si="5"/>
        <v>91049.279999999999</v>
      </c>
      <c r="G68" s="8">
        <f t="shared" si="6"/>
        <v>0.48</v>
      </c>
    </row>
    <row r="69" spans="1:7" x14ac:dyDescent="0.25">
      <c r="A69" s="1">
        <f t="shared" si="9"/>
        <v>45505</v>
      </c>
      <c r="B69" t="str">
        <f t="shared" si="7"/>
        <v>Finance</v>
      </c>
      <c r="C69" t="str">
        <f t="shared" si="8"/>
        <v>West</v>
      </c>
      <c r="D69">
        <v>63491</v>
      </c>
      <c r="E69">
        <v>34285.14</v>
      </c>
      <c r="F69">
        <f t="shared" si="5"/>
        <v>29205.86</v>
      </c>
      <c r="G69" s="8">
        <f t="shared" si="6"/>
        <v>0.46</v>
      </c>
    </row>
    <row r="70" spans="1:7" x14ac:dyDescent="0.25">
      <c r="A70" s="1">
        <f t="shared" si="9"/>
        <v>45536</v>
      </c>
      <c r="B70" t="str">
        <f t="shared" si="7"/>
        <v>Sales</v>
      </c>
      <c r="C70" t="str">
        <f t="shared" si="8"/>
        <v>North</v>
      </c>
      <c r="D70">
        <v>186521</v>
      </c>
      <c r="E70">
        <v>121238.65</v>
      </c>
      <c r="F70">
        <f t="shared" si="5"/>
        <v>65282.350000000006</v>
      </c>
      <c r="G70" s="8">
        <f t="shared" si="6"/>
        <v>0.35000000000000003</v>
      </c>
    </row>
    <row r="71" spans="1:7" x14ac:dyDescent="0.25">
      <c r="A71" s="1">
        <f t="shared" si="9"/>
        <v>45566</v>
      </c>
      <c r="B71" t="str">
        <f t="shared" si="7"/>
        <v>Marketing</v>
      </c>
      <c r="C71" t="str">
        <f t="shared" si="8"/>
        <v>South</v>
      </c>
      <c r="D71">
        <v>67762</v>
      </c>
      <c r="E71">
        <v>54209.599999999999</v>
      </c>
      <c r="F71">
        <f t="shared" si="5"/>
        <v>13552.400000000001</v>
      </c>
      <c r="G71" s="8">
        <f t="shared" si="6"/>
        <v>0.2</v>
      </c>
    </row>
    <row r="72" spans="1:7" x14ac:dyDescent="0.25">
      <c r="A72" s="1">
        <f t="shared" si="9"/>
        <v>45597</v>
      </c>
      <c r="B72" t="str">
        <f t="shared" si="7"/>
        <v>Operations</v>
      </c>
      <c r="C72" t="str">
        <f t="shared" si="8"/>
        <v>East</v>
      </c>
      <c r="D72">
        <v>130415</v>
      </c>
      <c r="E72">
        <v>103027.85</v>
      </c>
      <c r="F72">
        <f t="shared" si="5"/>
        <v>27387.149999999994</v>
      </c>
      <c r="G72" s="8">
        <f t="shared" si="6"/>
        <v>0.20999999999999996</v>
      </c>
    </row>
    <row r="73" spans="1:7" x14ac:dyDescent="0.25">
      <c r="A73" s="1">
        <f t="shared" si="9"/>
        <v>45627</v>
      </c>
      <c r="B73" t="str">
        <f t="shared" si="7"/>
        <v>Finance</v>
      </c>
      <c r="C73" t="str">
        <f t="shared" si="8"/>
        <v>West</v>
      </c>
      <c r="D73">
        <v>176349</v>
      </c>
      <c r="E73">
        <v>91701.48</v>
      </c>
      <c r="F73">
        <f t="shared" si="5"/>
        <v>84647.52</v>
      </c>
      <c r="G73" s="8">
        <f t="shared" si="6"/>
        <v>0.48000000000000004</v>
      </c>
    </row>
    <row r="74" spans="1:7" x14ac:dyDescent="0.25">
      <c r="A74" s="1">
        <v>44927</v>
      </c>
      <c r="B74" t="str">
        <f t="shared" si="7"/>
        <v>Sales</v>
      </c>
      <c r="C74" t="str">
        <f t="shared" si="8"/>
        <v>North</v>
      </c>
      <c r="D74">
        <v>106837</v>
      </c>
      <c r="E74">
        <v>74785.899999999994</v>
      </c>
      <c r="F74">
        <f t="shared" si="5"/>
        <v>32051.100000000006</v>
      </c>
      <c r="G74" s="8">
        <f t="shared" si="6"/>
        <v>0.30000000000000004</v>
      </c>
    </row>
    <row r="75" spans="1:7" x14ac:dyDescent="0.25">
      <c r="A75" s="1">
        <f>EDATE(A74,1)</f>
        <v>44958</v>
      </c>
      <c r="B75" t="str">
        <f t="shared" si="7"/>
        <v>Marketing</v>
      </c>
      <c r="C75" t="str">
        <f t="shared" si="8"/>
        <v>South</v>
      </c>
      <c r="D75">
        <v>132435</v>
      </c>
      <c r="E75">
        <v>82109.7</v>
      </c>
      <c r="F75">
        <f t="shared" si="5"/>
        <v>50325.3</v>
      </c>
      <c r="G75" s="8">
        <f t="shared" si="6"/>
        <v>0.38</v>
      </c>
    </row>
    <row r="76" spans="1:7" x14ac:dyDescent="0.25">
      <c r="A76" s="1">
        <f t="shared" ref="A76:A97" si="10">EDATE(A75,1)</f>
        <v>44986</v>
      </c>
      <c r="B76" t="str">
        <f t="shared" si="7"/>
        <v>Operations</v>
      </c>
      <c r="C76" t="str">
        <f t="shared" si="8"/>
        <v>East</v>
      </c>
      <c r="D76">
        <v>184773</v>
      </c>
      <c r="E76">
        <v>121950.18</v>
      </c>
      <c r="F76">
        <f t="shared" si="5"/>
        <v>62822.820000000007</v>
      </c>
      <c r="G76" s="8">
        <f t="shared" si="6"/>
        <v>0.34</v>
      </c>
    </row>
    <row r="77" spans="1:7" x14ac:dyDescent="0.25">
      <c r="A77" s="1">
        <f t="shared" si="10"/>
        <v>45017</v>
      </c>
      <c r="B77" t="str">
        <f t="shared" si="7"/>
        <v>Finance</v>
      </c>
      <c r="C77" t="str">
        <f t="shared" si="8"/>
        <v>West</v>
      </c>
      <c r="D77">
        <v>143824</v>
      </c>
      <c r="E77">
        <v>76226.720000000001</v>
      </c>
      <c r="F77">
        <f t="shared" si="5"/>
        <v>67597.279999999999</v>
      </c>
      <c r="G77" s="8">
        <f t="shared" si="6"/>
        <v>0.47</v>
      </c>
    </row>
    <row r="78" spans="1:7" x14ac:dyDescent="0.25">
      <c r="A78" s="1">
        <f t="shared" si="10"/>
        <v>45047</v>
      </c>
      <c r="B78" t="str">
        <f t="shared" si="7"/>
        <v>Sales</v>
      </c>
      <c r="C78" t="str">
        <f t="shared" si="8"/>
        <v>North</v>
      </c>
      <c r="D78">
        <v>110134</v>
      </c>
      <c r="E78">
        <v>64979.06</v>
      </c>
      <c r="F78">
        <f t="shared" si="5"/>
        <v>45154.94</v>
      </c>
      <c r="G78" s="8">
        <f t="shared" si="6"/>
        <v>0.41000000000000003</v>
      </c>
    </row>
    <row r="79" spans="1:7" x14ac:dyDescent="0.25">
      <c r="A79" s="1">
        <f t="shared" si="10"/>
        <v>45078</v>
      </c>
      <c r="B79" t="str">
        <f t="shared" si="7"/>
        <v>Marketing</v>
      </c>
      <c r="C79" t="str">
        <f t="shared" si="8"/>
        <v>South</v>
      </c>
      <c r="D79">
        <v>128792</v>
      </c>
      <c r="E79">
        <v>88866.48</v>
      </c>
      <c r="F79">
        <f t="shared" si="5"/>
        <v>39925.520000000004</v>
      </c>
      <c r="G79" s="8">
        <f t="shared" si="6"/>
        <v>0.31000000000000005</v>
      </c>
    </row>
    <row r="80" spans="1:7" x14ac:dyDescent="0.25">
      <c r="A80" s="1">
        <f t="shared" si="10"/>
        <v>45108</v>
      </c>
      <c r="B80" t="str">
        <f t="shared" si="7"/>
        <v>Operations</v>
      </c>
      <c r="C80" t="str">
        <f t="shared" si="8"/>
        <v>East</v>
      </c>
      <c r="D80">
        <v>75435</v>
      </c>
      <c r="E80">
        <v>46015.35</v>
      </c>
      <c r="F80">
        <f t="shared" si="5"/>
        <v>29419.65</v>
      </c>
      <c r="G80" s="8">
        <f t="shared" si="6"/>
        <v>0.39</v>
      </c>
    </row>
    <row r="81" spans="1:7" x14ac:dyDescent="0.25">
      <c r="A81" s="1">
        <f t="shared" si="10"/>
        <v>45139</v>
      </c>
      <c r="B81" t="str">
        <f t="shared" si="7"/>
        <v>Finance</v>
      </c>
      <c r="C81" t="str">
        <f t="shared" si="8"/>
        <v>West</v>
      </c>
      <c r="D81">
        <v>72309</v>
      </c>
      <c r="E81">
        <v>44108.49</v>
      </c>
      <c r="F81">
        <f t="shared" si="5"/>
        <v>28200.510000000002</v>
      </c>
      <c r="G81" s="8">
        <f t="shared" si="6"/>
        <v>0.39</v>
      </c>
    </row>
    <row r="82" spans="1:7" x14ac:dyDescent="0.25">
      <c r="A82" s="1">
        <f t="shared" si="10"/>
        <v>45170</v>
      </c>
      <c r="B82" t="str">
        <f t="shared" si="7"/>
        <v>Sales</v>
      </c>
      <c r="C82" t="str">
        <f t="shared" si="8"/>
        <v>North</v>
      </c>
      <c r="D82">
        <v>195379</v>
      </c>
      <c r="E82">
        <v>142626.67000000001</v>
      </c>
      <c r="F82">
        <f t="shared" si="5"/>
        <v>52752.329999999987</v>
      </c>
      <c r="G82" s="8">
        <f t="shared" si="6"/>
        <v>0.26999999999999991</v>
      </c>
    </row>
    <row r="83" spans="1:7" x14ac:dyDescent="0.25">
      <c r="A83" s="1">
        <f t="shared" si="10"/>
        <v>45200</v>
      </c>
      <c r="B83" t="str">
        <f t="shared" si="7"/>
        <v>Marketing</v>
      </c>
      <c r="C83" t="str">
        <f t="shared" si="8"/>
        <v>South</v>
      </c>
      <c r="D83">
        <v>127255</v>
      </c>
      <c r="E83">
        <v>90351.05</v>
      </c>
      <c r="F83">
        <f t="shared" si="5"/>
        <v>36903.949999999997</v>
      </c>
      <c r="G83" s="8">
        <f t="shared" si="6"/>
        <v>0.28999999999999998</v>
      </c>
    </row>
    <row r="84" spans="1:7" x14ac:dyDescent="0.25">
      <c r="A84" s="1">
        <f t="shared" si="10"/>
        <v>45231</v>
      </c>
      <c r="B84" t="str">
        <f t="shared" si="7"/>
        <v>Operations</v>
      </c>
      <c r="C84" t="str">
        <f t="shared" si="8"/>
        <v>East</v>
      </c>
      <c r="D84">
        <v>178540</v>
      </c>
      <c r="E84">
        <v>142832</v>
      </c>
      <c r="F84">
        <f t="shared" si="5"/>
        <v>35708</v>
      </c>
      <c r="G84" s="8">
        <f t="shared" si="6"/>
        <v>0.2</v>
      </c>
    </row>
    <row r="85" spans="1:7" x14ac:dyDescent="0.25">
      <c r="A85" s="1">
        <f t="shared" si="10"/>
        <v>45261</v>
      </c>
      <c r="B85" t="str">
        <f t="shared" si="7"/>
        <v>Finance</v>
      </c>
      <c r="C85" t="str">
        <f t="shared" si="8"/>
        <v>West</v>
      </c>
      <c r="D85">
        <v>53523</v>
      </c>
      <c r="E85">
        <v>37466.1</v>
      </c>
      <c r="F85">
        <f t="shared" si="5"/>
        <v>16056.900000000001</v>
      </c>
      <c r="G85" s="8">
        <f t="shared" si="6"/>
        <v>0.30000000000000004</v>
      </c>
    </row>
    <row r="86" spans="1:7" x14ac:dyDescent="0.25">
      <c r="A86" s="1">
        <f t="shared" si="10"/>
        <v>45292</v>
      </c>
      <c r="B86" t="str">
        <f t="shared" si="7"/>
        <v>Sales</v>
      </c>
      <c r="C86" t="str">
        <f t="shared" si="8"/>
        <v>North</v>
      </c>
      <c r="D86">
        <v>113106</v>
      </c>
      <c r="E86">
        <v>61077.24</v>
      </c>
      <c r="F86">
        <f t="shared" si="5"/>
        <v>52028.76</v>
      </c>
      <c r="G86" s="8">
        <f t="shared" si="6"/>
        <v>0.46</v>
      </c>
    </row>
    <row r="87" spans="1:7" x14ac:dyDescent="0.25">
      <c r="A87" s="1">
        <f t="shared" si="10"/>
        <v>45323</v>
      </c>
      <c r="B87" t="str">
        <f t="shared" si="7"/>
        <v>Marketing</v>
      </c>
      <c r="C87" t="str">
        <f t="shared" si="8"/>
        <v>South</v>
      </c>
      <c r="D87">
        <v>101869</v>
      </c>
      <c r="E87">
        <v>77420.44</v>
      </c>
      <c r="F87">
        <f t="shared" si="5"/>
        <v>24448.559999999998</v>
      </c>
      <c r="G87" s="8">
        <f t="shared" si="6"/>
        <v>0.23999999999999996</v>
      </c>
    </row>
    <row r="88" spans="1:7" x14ac:dyDescent="0.25">
      <c r="A88" s="1">
        <f t="shared" si="10"/>
        <v>45352</v>
      </c>
      <c r="B88" t="str">
        <f t="shared" si="7"/>
        <v>Operations</v>
      </c>
      <c r="C88" t="str">
        <f t="shared" si="8"/>
        <v>East</v>
      </c>
      <c r="D88">
        <v>184126</v>
      </c>
      <c r="E88">
        <v>117840.64</v>
      </c>
      <c r="F88">
        <f t="shared" si="5"/>
        <v>66285.36</v>
      </c>
      <c r="G88" s="8">
        <f t="shared" si="6"/>
        <v>0.36</v>
      </c>
    </row>
    <row r="89" spans="1:7" x14ac:dyDescent="0.25">
      <c r="A89" s="1">
        <f t="shared" si="10"/>
        <v>45383</v>
      </c>
      <c r="B89" t="str">
        <f t="shared" si="7"/>
        <v>Finance</v>
      </c>
      <c r="C89" t="str">
        <f t="shared" si="8"/>
        <v>West</v>
      </c>
      <c r="D89">
        <v>134333</v>
      </c>
      <c r="E89">
        <v>67166.5</v>
      </c>
      <c r="F89">
        <f t="shared" si="5"/>
        <v>67166.5</v>
      </c>
      <c r="G89" s="8">
        <f t="shared" si="6"/>
        <v>0.5</v>
      </c>
    </row>
    <row r="90" spans="1:7" x14ac:dyDescent="0.25">
      <c r="A90" s="1">
        <f t="shared" si="10"/>
        <v>45413</v>
      </c>
      <c r="B90" t="str">
        <f t="shared" si="7"/>
        <v>Sales</v>
      </c>
      <c r="C90" t="str">
        <f t="shared" si="8"/>
        <v>North</v>
      </c>
      <c r="D90">
        <v>161858</v>
      </c>
      <c r="E90">
        <v>103589.12</v>
      </c>
      <c r="F90">
        <f t="shared" si="5"/>
        <v>58268.880000000005</v>
      </c>
      <c r="G90" s="8">
        <f t="shared" si="6"/>
        <v>0.36000000000000004</v>
      </c>
    </row>
    <row r="91" spans="1:7" x14ac:dyDescent="0.25">
      <c r="A91" s="1">
        <f t="shared" si="10"/>
        <v>45444</v>
      </c>
      <c r="B91" t="str">
        <f t="shared" si="7"/>
        <v>Marketing</v>
      </c>
      <c r="C91" t="str">
        <f t="shared" si="8"/>
        <v>South</v>
      </c>
      <c r="D91">
        <v>92195</v>
      </c>
      <c r="E91">
        <v>47941.4</v>
      </c>
      <c r="F91">
        <f t="shared" si="5"/>
        <v>44253.599999999999</v>
      </c>
      <c r="G91" s="8">
        <f t="shared" si="6"/>
        <v>0.48</v>
      </c>
    </row>
    <row r="92" spans="1:7" x14ac:dyDescent="0.25">
      <c r="A92" s="1">
        <f t="shared" si="10"/>
        <v>45474</v>
      </c>
      <c r="B92" t="str">
        <f t="shared" si="7"/>
        <v>Operations</v>
      </c>
      <c r="C92" t="str">
        <f t="shared" si="8"/>
        <v>East</v>
      </c>
      <c r="D92">
        <v>79333</v>
      </c>
      <c r="E92">
        <v>41253.160000000003</v>
      </c>
      <c r="F92">
        <f t="shared" si="5"/>
        <v>38079.839999999997</v>
      </c>
      <c r="G92" s="8">
        <f t="shared" si="6"/>
        <v>0.48</v>
      </c>
    </row>
    <row r="93" spans="1:7" x14ac:dyDescent="0.25">
      <c r="A93" s="1">
        <f t="shared" si="10"/>
        <v>45505</v>
      </c>
      <c r="B93" t="str">
        <f t="shared" si="7"/>
        <v>Finance</v>
      </c>
      <c r="C93" t="str">
        <f t="shared" si="8"/>
        <v>West</v>
      </c>
      <c r="D93">
        <v>104297</v>
      </c>
      <c r="E93">
        <v>57363.35</v>
      </c>
      <c r="F93">
        <f t="shared" si="5"/>
        <v>46933.65</v>
      </c>
      <c r="G93" s="8">
        <f t="shared" si="6"/>
        <v>0.45</v>
      </c>
    </row>
    <row r="94" spans="1:7" x14ac:dyDescent="0.25">
      <c r="A94" s="1">
        <f t="shared" si="10"/>
        <v>45536</v>
      </c>
      <c r="B94" t="str">
        <f t="shared" si="7"/>
        <v>Sales</v>
      </c>
      <c r="C94" t="str">
        <f t="shared" si="8"/>
        <v>North</v>
      </c>
      <c r="D94">
        <v>165571</v>
      </c>
      <c r="E94">
        <v>112588.28</v>
      </c>
      <c r="F94">
        <f t="shared" si="5"/>
        <v>52982.720000000001</v>
      </c>
      <c r="G94" s="8">
        <f t="shared" si="6"/>
        <v>0.32</v>
      </c>
    </row>
    <row r="95" spans="1:7" x14ac:dyDescent="0.25">
      <c r="A95" s="1">
        <f t="shared" si="10"/>
        <v>45566</v>
      </c>
      <c r="B95" t="str">
        <f t="shared" si="7"/>
        <v>Marketing</v>
      </c>
      <c r="C95" t="str">
        <f t="shared" si="8"/>
        <v>South</v>
      </c>
      <c r="D95">
        <v>87093</v>
      </c>
      <c r="E95">
        <v>66190.679999999993</v>
      </c>
      <c r="F95">
        <f t="shared" si="5"/>
        <v>20902.320000000007</v>
      </c>
      <c r="G95" s="8">
        <f t="shared" si="6"/>
        <v>0.24000000000000007</v>
      </c>
    </row>
    <row r="96" spans="1:7" x14ac:dyDescent="0.25">
      <c r="A96" s="1">
        <f t="shared" si="10"/>
        <v>45597</v>
      </c>
      <c r="B96" t="str">
        <f t="shared" si="7"/>
        <v>Operations</v>
      </c>
      <c r="C96" t="str">
        <f t="shared" si="8"/>
        <v>East</v>
      </c>
      <c r="D96">
        <v>199096</v>
      </c>
      <c r="E96">
        <v>147331.04</v>
      </c>
      <c r="F96">
        <f t="shared" si="5"/>
        <v>51764.959999999992</v>
      </c>
      <c r="G96" s="8">
        <f t="shared" si="6"/>
        <v>0.25999999999999995</v>
      </c>
    </row>
    <row r="97" spans="1:7" x14ac:dyDescent="0.25">
      <c r="A97" s="1">
        <f t="shared" si="10"/>
        <v>45627</v>
      </c>
      <c r="B97" t="str">
        <f t="shared" si="7"/>
        <v>Finance</v>
      </c>
      <c r="C97" t="str">
        <f t="shared" si="8"/>
        <v>West</v>
      </c>
      <c r="D97">
        <v>80646</v>
      </c>
      <c r="E97">
        <v>51613.440000000002</v>
      </c>
      <c r="F97">
        <f t="shared" si="5"/>
        <v>29032.559999999998</v>
      </c>
      <c r="G97" s="8">
        <f t="shared" si="6"/>
        <v>0.36</v>
      </c>
    </row>
    <row r="98" spans="1:7" x14ac:dyDescent="0.25">
      <c r="A98" s="1"/>
    </row>
    <row r="99" spans="1:7" x14ac:dyDescent="0.25">
      <c r="A99" s="1"/>
    </row>
    <row r="100" spans="1:7" x14ac:dyDescent="0.25">
      <c r="A100" s="1"/>
    </row>
    <row r="101" spans="1:7" x14ac:dyDescent="0.25">
      <c r="A101" s="1"/>
    </row>
    <row r="102" spans="1:7" x14ac:dyDescent="0.25">
      <c r="A102" s="1"/>
    </row>
    <row r="103" spans="1:7" x14ac:dyDescent="0.25">
      <c r="A103" s="1"/>
    </row>
    <row r="104" spans="1:7" x14ac:dyDescent="0.25">
      <c r="A104" s="1"/>
    </row>
    <row r="105" spans="1:7" x14ac:dyDescent="0.25">
      <c r="A105" s="1"/>
    </row>
    <row r="106" spans="1:7" x14ac:dyDescent="0.25">
      <c r="A106" s="1"/>
    </row>
    <row r="107" spans="1:7" x14ac:dyDescent="0.25">
      <c r="A107" s="1"/>
    </row>
    <row r="108" spans="1:7" x14ac:dyDescent="0.25">
      <c r="A108" s="1"/>
    </row>
    <row r="109" spans="1:7" x14ac:dyDescent="0.25">
      <c r="A109" s="1"/>
    </row>
    <row r="110" spans="1:7" x14ac:dyDescent="0.25">
      <c r="A110" s="1"/>
    </row>
    <row r="111" spans="1:7" x14ac:dyDescent="0.25">
      <c r="A111" s="1"/>
    </row>
    <row r="112" spans="1:7"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sheetData>
  <pageMargins left="0.7" right="0.7" top="0.75" bottom="0.75" header="0.3" footer="0.3"/>
  <ignoredErrors>
    <ignoredError sqref="A2" calculatedColumn="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Financial_Data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2026-02-27T10:00:23Z</dcterms:created>
  <dcterms:modified xsi:type="dcterms:W3CDTF">2026-02-27T15:46:27Z</dcterms:modified>
</cp:coreProperties>
</file>